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Dashboard" sheetId="2" state="visible" r:id="rId2"/>
    <sheet name="Jobs" sheetId="3" state="visible" r:id="rId3"/>
    <sheet name="Expenses" sheetId="4" state="visible" r:id="rId4"/>
    <sheet name="Supplies" sheetId="5" state="visible" r:id="rId5"/>
    <sheet name="Mileage Log" sheetId="6" state="visible" r:id="rId6"/>
    <sheet name="Customers" sheetId="7" state="visible" r:id="rId7"/>
    <sheet name="Summary" sheetId="8" state="visible" r:id="rId8"/>
    <sheet name="IRS Rates" sheetId="9" state="visible" r:id="rId9"/>
    <sheet name="Lists" sheetId="10" state="visible" r:id="rId10"/>
  </sheets>
  <definedNames>
    <definedName name="_xlnm._FilterDatabase" localSheetId="2" hidden="1">'Jobs'!$A$1:$J$501</definedName>
    <definedName name="_xlnm._FilterDatabase" localSheetId="3" hidden="1">'Expenses'!$A$1:$G$501</definedName>
    <definedName name="_xlnm._FilterDatabase" localSheetId="4" hidden="1">'Supplies'!$A$1:$K$501</definedName>
    <definedName name="_xlnm._FilterDatabase" localSheetId="5" hidden="1">'Mileage Log'!$A$1:$I$501</definedName>
    <definedName name="_xlnm._FilterDatabase" localSheetId="6" hidden="1">'Customers'!$A$1:$K$201</definedName>
    <definedName name="_xlnm._FilterDatabase" localSheetId="8" hidden="1">'IRS Rates'!$A$1:$C$21</definedName>
  </definedNames>
  <calcPr calcId="124519" fullCalcOnLoad="1"/>
</workbook>
</file>

<file path=xl/styles.xml><?xml version="1.0" encoding="utf-8"?>
<styleSheet xmlns="http://schemas.openxmlformats.org/spreadsheetml/2006/main">
  <numFmts count="5">
    <numFmt numFmtId="164" formatCode="mm/dd/yyyy"/>
    <numFmt numFmtId="165" formatCode="&quot;$&quot;#,##0.00"/>
    <numFmt numFmtId="166" formatCode="&quot;$&quot;#,##0.000"/>
    <numFmt numFmtId="167" formatCode="#,##0.0"/>
    <numFmt numFmtId="168" formatCode="0.0%"/>
  </numFmts>
  <fonts count="6">
    <font>
      <name val="Calibri"/>
      <family val="2"/>
      <color theme="1"/>
      <sz val="11"/>
      <scheme val="minor"/>
    </font>
    <font>
      <b val="1"/>
      <color rgb="001F4E5A"/>
      <sz val="16"/>
    </font>
    <font>
      <b val="1"/>
      <color rgb="001F4E5A"/>
      <sz val="12"/>
    </font>
    <font>
      <b val="1"/>
      <color rgb="00FFFFFF"/>
    </font>
    <font>
      <b val="1"/>
    </font>
    <font>
      <b val="1"/>
      <color rgb="001F4E5A"/>
    </font>
  </fonts>
  <fills count="5">
    <fill>
      <patternFill/>
    </fill>
    <fill>
      <patternFill patternType="gray125"/>
    </fill>
    <fill>
      <patternFill patternType="solid">
        <fgColor rgb="00FFF8DC"/>
      </patternFill>
    </fill>
    <fill>
      <patternFill patternType="solid">
        <fgColor rgb="001F4E5A"/>
      </patternFill>
    </fill>
    <fill>
      <patternFill patternType="solid">
        <fgColor rgb="00EEF2F3"/>
      </patternFill>
    </fill>
  </fills>
  <borders count="2">
    <border>
      <left/>
      <right/>
      <top/>
      <bottom/>
      <diagonal/>
    </border>
    <border>
      <left style="thin">
        <color rgb="00B7C4C8"/>
      </left>
      <right style="thin">
        <color rgb="00B7C4C8"/>
      </right>
      <top style="thin">
        <color rgb="00B7C4C8"/>
      </top>
      <bottom style="thin">
        <color rgb="00B7C4C8"/>
      </bottom>
    </border>
  </borders>
  <cellStyleXfs count="1">
    <xf numFmtId="0" fontId="0" fillId="0" borderId="0"/>
  </cellStyleXfs>
  <cellXfs count="3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0" borderId="0" applyAlignment="1" pivotButton="0" quotePrefix="0" xfId="0">
      <alignment horizontal="right" vertical="top"/>
    </xf>
    <xf numFmtId="0" fontId="0" fillId="2" borderId="0" applyAlignment="1" pivotButton="0" quotePrefix="0" xfId="0">
      <alignment vertical="top" wrapText="1"/>
    </xf>
    <xf numFmtId="0" fontId="4" fillId="0" borderId="0" pivotButton="0" quotePrefix="0" xfId="0"/>
    <xf numFmtId="1" fontId="0" fillId="2" borderId="1" pivotButton="0" quotePrefix="0" xfId="0"/>
    <xf numFmtId="168" fontId="0" fillId="2" borderId="1" pivotButton="0" quotePrefix="0" xfId="0"/>
    <xf numFmtId="3" fontId="0" fillId="2" borderId="1" pivotButton="0" quotePrefix="0" xfId="0"/>
    <xf numFmtId="0" fontId="3" fillId="3" borderId="1" pivotButton="0" quotePrefix="0" xfId="0"/>
    <xf numFmtId="165" fontId="0" fillId="4" borderId="1" pivotButton="0" quotePrefix="0" xfId="0"/>
    <xf numFmtId="165" fontId="5" fillId="4" borderId="1" pivotButton="0" quotePrefix="0" xfId="0"/>
    <xf numFmtId="168" fontId="0" fillId="4" borderId="1" pivotButton="0" quotePrefix="0" xfId="0"/>
    <xf numFmtId="1" fontId="0" fillId="4" borderId="1" pivotButton="0" quotePrefix="0" xfId="0"/>
    <xf numFmtId="167" fontId="0" fillId="4" borderId="1" pivotButton="0" quotePrefix="0" xfId="0"/>
    <xf numFmtId="3" fontId="0" fillId="4" borderId="1" pivotButton="0" quotePrefix="0" xfId="0"/>
    <xf numFmtId="0" fontId="3" fillId="3" borderId="1" applyAlignment="1" pivotButton="0" quotePrefix="0" xfId="0">
      <alignment horizontal="center" vertical="center" wrapText="1"/>
    </xf>
    <xf numFmtId="164" fontId="0" fillId="0" borderId="0" pivotButton="0" quotePrefix="0" xfId="0"/>
    <xf numFmtId="165" fontId="0" fillId="0" borderId="0" pivotButton="0" quotePrefix="0" xfId="0"/>
    <xf numFmtId="165" fontId="0" fillId="4" borderId="0" pivotButton="0" quotePrefix="0" xfId="0"/>
    <xf numFmtId="167" fontId="0" fillId="0" borderId="0" pivotButton="0" quotePrefix="0" xfId="0"/>
    <xf numFmtId="166" fontId="0" fillId="4" borderId="0" pivotButton="0" quotePrefix="0" xfId="0"/>
    <xf numFmtId="1" fontId="0" fillId="4" borderId="0" pivotButton="0" quotePrefix="0" xfId="0"/>
    <xf numFmtId="164" fontId="0" fillId="4" borderId="0" pivotButton="0" quotePrefix="0" xfId="0"/>
    <xf numFmtId="0" fontId="0" fillId="4" borderId="1" pivotButton="0" quotePrefix="0" xfId="0"/>
    <xf numFmtId="165" fontId="4" fillId="4" borderId="1" pivotButton="0" quotePrefix="0" xfId="0"/>
    <xf numFmtId="166" fontId="0" fillId="0" borderId="0" pivotButton="0" quotePrefix="0" xfId="0"/>
    <xf numFmtId="0" fontId="3" fillId="3"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Income vs Costs by Month</a:t>
            </a:r>
          </a:p>
        </rich>
      </tx>
    </title>
    <plotArea>
      <barChart>
        <barDir val="col"/>
        <grouping val="clustered"/>
        <ser>
          <idx val="0"/>
          <order val="0"/>
          <tx>
            <strRef>
              <f>'Summary'!B6</f>
            </strRef>
          </tx>
          <spPr>
            <a:solidFill>
              <a:srgbClr val="1F4E5A"/>
            </a:solidFill>
            <a:ln>
              <a:solidFill>
                <a:srgbClr val="1F4E5A"/>
              </a:solidFill>
              <a:prstDash val="solid"/>
            </a:ln>
          </spPr>
          <cat>
            <numRef>
              <f>'Summary'!$A$7:$A$18</f>
            </numRef>
          </cat>
          <val>
            <numRef>
              <f>'Summary'!$B$7:$B$18</f>
            </numRef>
          </val>
        </ser>
        <ser>
          <idx val="1"/>
          <order val="1"/>
          <tx>
            <strRef>
              <f>'Summary'!C6</f>
            </strRef>
          </tx>
          <spPr>
            <a:solidFill>
              <a:srgbClr val="E07A2E"/>
            </a:solidFill>
            <a:ln>
              <a:solidFill>
                <a:srgbClr val="E07A2E"/>
              </a:solidFill>
              <a:prstDash val="solid"/>
            </a:ln>
          </spPr>
          <cat>
            <numRef>
              <f>'Summary'!$A$7:$A$18</f>
            </numRef>
          </cat>
          <val>
            <numRef>
              <f>'Summary'!$C$7:$C$18</f>
            </numRef>
          </val>
        </ser>
        <ser>
          <idx val="2"/>
          <order val="2"/>
          <tx>
            <strRef>
              <f>'Summary'!D6</f>
            </strRef>
          </tx>
          <spPr>
            <a:solidFill>
              <a:srgbClr val="8FB8C4"/>
            </a:solidFill>
            <a:ln>
              <a:solidFill>
                <a:srgbClr val="8FB8C4"/>
              </a:solidFill>
              <a:prstDash val="solid"/>
            </a:ln>
          </spPr>
          <cat>
            <numRef>
              <f>'Summary'!$A$7:$A$18</f>
            </numRef>
          </cat>
          <val>
            <numRef>
              <f>'Summary'!$D$7:$D$18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Profit After Mileage by Month</a:t>
            </a:r>
          </a:p>
        </rich>
      </tx>
    </title>
    <plotArea>
      <barChart>
        <barDir val="col"/>
        <grouping val="clustered"/>
        <ser>
          <idx val="0"/>
          <order val="0"/>
          <tx>
            <strRef>
              <f>'Summary'!G6</f>
            </strRef>
          </tx>
          <spPr>
            <a:solidFill>
              <a:srgbClr val="1F4E5A"/>
            </a:solidFill>
            <a:ln>
              <a:solidFill>
                <a:srgbClr val="1F4E5A"/>
              </a:solidFill>
              <a:prstDash val="solid"/>
            </a:ln>
          </spPr>
          <cat>
            <numRef>
              <f>'Summary'!$A$7:$A$18</f>
            </numRef>
          </cat>
          <val>
            <numRef>
              <f>'Summary'!$G$7:$G$18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Costs by Category</a:t>
            </a:r>
          </a:p>
        </rich>
      </tx>
    </title>
    <plotArea>
      <barChart>
        <barDir val="bar"/>
        <grouping val="clustered"/>
        <ser>
          <idx val="0"/>
          <order val="0"/>
          <tx>
            <strRef>
              <f>'Summary'!J6</f>
            </strRef>
          </tx>
          <spPr>
            <a:solidFill>
              <a:srgbClr val="1F4E5A"/>
            </a:solidFill>
            <a:ln>
              <a:solidFill>
                <a:srgbClr val="1F4E5A"/>
              </a:solidFill>
              <a:prstDash val="solid"/>
            </a:ln>
          </spPr>
          <cat>
            <numRef>
              <f>'Summary'!$I$7:$I$17</f>
            </numRef>
          </cat>
          <val>
            <numRef>
              <f>'Summary'!$J$7:$J$17</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20</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3</row>
      <rowOff>0</rowOff>
    </from>
    <ext cx="6120000" cy="30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4" customWidth="1" min="1" max="1"/>
    <col width="100" customWidth="1" min="2" max="2"/>
  </cols>
  <sheetData>
    <row r="1">
      <c r="B1" s="1" t="inlineStr">
        <is>
          <t>Mobile Auto Detailer Business Tracker</t>
        </is>
      </c>
    </row>
    <row r="2">
      <c r="B2" s="2" t="inlineStr">
        <is>
          <t>One workbook for a mobile detailing business. Enter each job, expense, supply purchase and trip once; the Dashboard, Summary and Customers tabs fill in from those entries.</t>
        </is>
      </c>
    </row>
    <row r="4">
      <c r="B4" s="3" t="inlineStr">
        <is>
          <t>How to Use</t>
        </is>
      </c>
    </row>
    <row r="5">
      <c r="A5" s="4" t="n">
        <v>1</v>
      </c>
      <c r="B5" s="2" t="inlineStr">
        <is>
          <t>Dashboard: type the tax year and your tax set-aside % in the yellow cells (and your odometer readings on January 1 and December 31 if you want your business-use %). Charts and key figures update as you add entries.</t>
        </is>
      </c>
    </row>
    <row r="6">
      <c r="A6" s="4" t="n">
        <v>2</v>
      </c>
      <c r="B6" s="2" t="inlineStr">
        <is>
          <t>Jobs: add one row per job with the date, customer, vehicle, service, payment method, amount and any tip, and mark Paid? Yes or No. This one row counts as income and updates that customer's history.</t>
        </is>
      </c>
    </row>
    <row r="7">
      <c r="A7" s="4" t="n">
        <v>3</v>
      </c>
      <c r="B7" s="2" t="inlineStr">
        <is>
          <t>Customers: add each customer once, before their first job, so their name appears in the Jobs dropdown. Jobs, Total Spent, Unpaid Balance and Last Visit fill in automatically.</t>
        </is>
      </c>
    </row>
    <row r="8">
      <c r="A8" s="4" t="n">
        <v>4</v>
      </c>
      <c r="B8" s="2" t="inlineStr">
        <is>
          <t>Expenses: add business bills and purchases other than detailing supplies, with a category.</t>
        </is>
      </c>
    </row>
    <row r="9">
      <c r="A9" s="4" t="n">
        <v>5</v>
      </c>
      <c r="B9" s="2" t="inlineStr">
        <is>
          <t>Supplies: add chemicals, towels, pads and equipment here (not on Expenses). They count as costs automatically, and Cost per Job shows what each supply costs you per job.</t>
        </is>
      </c>
    </row>
    <row r="10">
      <c r="A10" s="4" t="n">
        <v>6</v>
      </c>
      <c r="B10" s="2" t="inlineStr">
        <is>
          <t>Mileage Log: add one row per business trip. IRS Rate and Deduction fill in from the IRS Rates tab.</t>
        </is>
      </c>
    </row>
    <row r="11">
      <c r="A11" s="4" t="n">
        <v>7</v>
      </c>
      <c r="B11" s="2" t="inlineStr">
        <is>
          <t>Summary: month-by-month income, costs, profit and mileage for the chosen tax year.</t>
        </is>
      </c>
    </row>
    <row r="12">
      <c r="A12" s="4" t="n">
        <v>8</v>
      </c>
      <c r="B12" s="2" t="inlineStr">
        <is>
          <t>Lists: edit the dropdown choices (services, payment methods, expense and supply categories).</t>
        </is>
      </c>
    </row>
    <row r="14">
      <c r="B14" s="3" t="inlineStr">
        <is>
          <t>Good to know</t>
        </is>
      </c>
    </row>
    <row r="15">
      <c r="B15" s="2" t="inlineStr">
        <is>
          <t>Each data tab has room for 500 entries and Customers for 200. Only entries dated in the Dashboard's tax year count toward the totals.</t>
        </is>
      </c>
    </row>
    <row r="16">
      <c r="B16" s="2" t="inlineStr">
        <is>
          <t>Profit After Mileage subtracts the IRS standard mileage deduction from Net Profit. If you use the standard mileage rate, don't also enter fuel or vehicle repairs as expenses for that vehicle.</t>
        </is>
      </c>
    </row>
    <row r="17">
      <c r="B17" s="2" t="inlineStr">
        <is>
          <t>The tax set-aside is a savings target, not a tax calculation. Many self-employed people put aside 25-30% of profit; ask a tax professional what fits you.</t>
        </is>
      </c>
    </row>
    <row r="18">
      <c r="B18" s="2" t="inlineStr">
        <is>
          <t>IRS rates included: $0.70/mile from January 1, 2025; $0.725/mile from January 1, 2026; $0.76/mile from July 1, 2026. Check irs.gov for the current rate and add new ones on the IRS Rates tab.</t>
        </is>
      </c>
    </row>
    <row r="19">
      <c r="B19" s="2" t="inlineStr">
        <is>
          <t>Customer details are personal information. Store this file securely and don't share it.</t>
        </is>
      </c>
    </row>
    <row r="20">
      <c r="B20" s="2" t="inlineStr">
        <is>
          <t>This product is a record-keeping tool and is not tax advice. Tax rules change and depend on your situation; confirm deductions with a qualified tax professional or irs.gov.</t>
        </is>
      </c>
    </row>
    <row r="22">
      <c r="B22" s="5" t="inlineStr">
        <is>
          <t>White table cells and yellow cells are for your entries. Grey cells calculate automatically; don't type over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30" customWidth="1" min="1" max="1"/>
    <col width="16" customWidth="1" min="2" max="2"/>
    <col width="3" customWidth="1" min="3" max="3"/>
  </cols>
  <sheetData>
    <row r="1">
      <c r="A1" s="1" t="inlineStr">
        <is>
          <t>Detailing Business Dashboard</t>
        </is>
      </c>
    </row>
    <row r="2">
      <c r="A2" t="inlineStr">
        <is>
          <t>Type in the yellow cells. Everything else updates from your entries.</t>
        </is>
      </c>
    </row>
    <row r="4">
      <c r="A4" s="3" t="inlineStr">
        <is>
          <t>Settings</t>
        </is>
      </c>
    </row>
    <row r="5">
      <c r="A5" s="6" t="inlineStr">
        <is>
          <t>Tax Year</t>
        </is>
      </c>
      <c r="B5" s="7" t="n">
        <v>2026</v>
      </c>
    </row>
    <row r="6">
      <c r="A6" s="6" t="inlineStr">
        <is>
          <t>Tax Set-Aside %</t>
        </is>
      </c>
      <c r="B6" s="8" t="n">
        <v>0.25</v>
      </c>
    </row>
    <row r="7">
      <c r="A7" s="6" t="inlineStr">
        <is>
          <t>Odometer on January 1</t>
        </is>
      </c>
      <c r="B7" s="9" t="n"/>
    </row>
    <row r="8">
      <c r="A8" s="6" t="inlineStr">
        <is>
          <t>Odometer on December 31</t>
        </is>
      </c>
      <c r="B8" s="9" t="n"/>
    </row>
    <row r="10">
      <c r="A10" s="10" t="inlineStr">
        <is>
          <t>Key Figures</t>
        </is>
      </c>
      <c r="B10" s="10" t="inlineStr"/>
    </row>
    <row r="11">
      <c r="A11" s="6" t="inlineStr">
        <is>
          <t>Total Income</t>
        </is>
      </c>
      <c r="B11" s="11">
        <f>Summary!$B$19</f>
        <v/>
      </c>
    </row>
    <row r="12">
      <c r="A12" s="6" t="inlineStr">
        <is>
          <t>Total Costs</t>
        </is>
      </c>
      <c r="B12" s="11">
        <f>Summary!$C$19+Summary!$D$19</f>
        <v/>
      </c>
    </row>
    <row r="13">
      <c r="A13" s="6" t="inlineStr">
        <is>
          <t>Net Profit</t>
        </is>
      </c>
      <c r="B13" s="12">
        <f>Summary!$E$19</f>
        <v/>
      </c>
    </row>
    <row r="14">
      <c r="A14" s="6" t="inlineStr">
        <is>
          <t>Profit Margin</t>
        </is>
      </c>
      <c r="B14" s="13">
        <f>IF(B11=0,0,B13/B11)</f>
        <v/>
      </c>
    </row>
    <row r="15">
      <c r="A15" s="6" t="inlineStr">
        <is>
          <t>Mileage Deduction</t>
        </is>
      </c>
      <c r="B15" s="11">
        <f>Summary!$F$19</f>
        <v/>
      </c>
    </row>
    <row r="16">
      <c r="A16" s="6" t="inlineStr">
        <is>
          <t>Profit After Mileage</t>
        </is>
      </c>
      <c r="B16" s="12">
        <f>Summary!$G$19</f>
        <v/>
      </c>
    </row>
    <row r="17">
      <c r="A17" s="6" t="inlineStr">
        <is>
          <t>Tax Set-Aside</t>
        </is>
      </c>
      <c r="B17" s="11">
        <f>ROUND(MAX(0,B16)*B6,2)</f>
        <v/>
      </c>
    </row>
    <row r="18">
      <c r="A18" s="6" t="inlineStr">
        <is>
          <t>Take-Home After Set-Aside</t>
        </is>
      </c>
      <c r="B18" s="12">
        <f>B16-B17</f>
        <v/>
      </c>
    </row>
    <row r="19">
      <c r="A19" s="6" t="inlineStr">
        <is>
          <t>Jobs Completed</t>
        </is>
      </c>
      <c r="B19" s="14">
        <f>COUNTIFS('Jobs'!$A$2:$A$501,"&gt;="&amp;DATE(Dashboard!$B$5,1,1),'Jobs'!$A$2:$A$501,"&lt;"&amp;DATE(Dashboard!$B$5+1,1,1))</f>
        <v/>
      </c>
    </row>
    <row r="20">
      <c r="A20" s="6" t="inlineStr">
        <is>
          <t>Unpaid Balance</t>
        </is>
      </c>
      <c r="B20" s="11">
        <f>SUMIF('Jobs'!$I$2:$I$501,"No",'Jobs'!$H$2:$H$501)</f>
        <v/>
      </c>
    </row>
    <row r="21">
      <c r="A21" s="6" t="inlineStr">
        <is>
          <t>Business Miles</t>
        </is>
      </c>
      <c r="B21" s="15">
        <f>SUMIFS('Mileage Log'!$F$2:$F$501,'Mileage Log'!$A$2:$A$501,"&gt;="&amp;DATE(Dashboard!$B$5,1,1),'Mileage Log'!$A$2:$A$501,"&lt;"&amp;DATE(Dashboard!$B$5+1,1,1))</f>
        <v/>
      </c>
    </row>
    <row r="22">
      <c r="A22" s="6" t="inlineStr">
        <is>
          <t>Total Miles Driven</t>
        </is>
      </c>
      <c r="B22" s="16">
        <f>IF(AND(ISNUMBER(B7),ISNUMBER(B8)),B8-B7,"")</f>
        <v/>
      </c>
    </row>
    <row r="23">
      <c r="A23" s="6" t="inlineStr">
        <is>
          <t>Business Use %</t>
        </is>
      </c>
      <c r="B23" s="13">
        <f>IF(ISNUMBER(B22),IF(B22&gt;0,B21/B22,""),"")</f>
        <v/>
      </c>
    </row>
    <row r="25">
      <c r="A25" s="2" t="inlineStr">
        <is>
          <t>Unpaid Balance counts every unpaid job, whatever the year. The tax set-aside is a savings target, not a tax calculation. Many self-employed people put aside 25-30% of profit; ask a tax professional what fits you.</t>
        </is>
      </c>
    </row>
    <row r="26"/>
    <row r="27"/>
    <row r="28"/>
  </sheetData>
  <mergeCells count="1">
    <mergeCell ref="A25:B28"/>
  </mergeCells>
  <dataValidations count="3">
    <dataValidation sqref="B5" showDropDown="0" showInputMessage="0" showErrorMessage="1" allowBlank="1" errorTitle="Number needed" error="Enter a number of 0 or more." type="decimal" operator="greaterThanOrEqual">
      <formula1>0</formula1>
    </dataValidation>
    <dataValidation sqref="B6" showDropDown="0" showInputMessage="0" showErrorMessage="1" allowBlank="1" errorTitle="Percentage needed" error="Enter a percentage from 0% to 100%, e.g. 25%." type="decimal" operator="between">
      <formula1>0</formula1>
      <formula2>1</formula2>
    </dataValidation>
    <dataValidation sqref="B7:B8" showDropDown="0" showInputMessage="0" showErrorMessage="1" allowBlank="1" errorTitle="Number needed" error="Enter a number of 0 or more." type="decimal" operator="greaterThanOrEqual">
      <formula1>0</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0" customWidth="1" min="3" max="3"/>
    <col width="22" customWidth="1" min="4" max="4"/>
    <col width="16" customWidth="1" min="5" max="5"/>
    <col width="15" customWidth="1" min="6" max="6"/>
    <col width="11" customWidth="1" min="7" max="7"/>
    <col width="13" customWidth="1" min="8" max="8"/>
    <col width="8" customWidth="1" min="9" max="9"/>
    <col width="30" customWidth="1" min="10" max="10"/>
  </cols>
  <sheetData>
    <row r="1" ht="30" customHeight="1">
      <c r="A1" s="17" t="inlineStr">
        <is>
          <t>Date</t>
        </is>
      </c>
      <c r="B1" s="17" t="inlineStr">
        <is>
          <t>Customer Name</t>
        </is>
      </c>
      <c r="C1" s="17" t="inlineStr">
        <is>
          <t>Vehicle</t>
        </is>
      </c>
      <c r="D1" s="17" t="inlineStr">
        <is>
          <t>Service</t>
        </is>
      </c>
      <c r="E1" s="17" t="inlineStr">
        <is>
          <t>Payment Method</t>
        </is>
      </c>
      <c r="F1" s="17" t="inlineStr">
        <is>
          <t>Service Amount</t>
        </is>
      </c>
      <c r="G1" s="17" t="inlineStr">
        <is>
          <t>Tip</t>
        </is>
      </c>
      <c r="H1" s="17" t="inlineStr">
        <is>
          <t>Total</t>
        </is>
      </c>
      <c r="I1" s="17" t="inlineStr">
        <is>
          <t>Paid?</t>
        </is>
      </c>
      <c r="J1" s="17" t="inlineStr">
        <is>
          <t>Notes</t>
        </is>
      </c>
    </row>
    <row r="2">
      <c r="A2" s="18" t="n"/>
      <c r="F2" s="19" t="n"/>
      <c r="G2" s="19" t="n"/>
      <c r="H2" s="20">
        <f>IF(COUNT(F2:G2)=0,"",SUM(F2:G2))</f>
        <v/>
      </c>
    </row>
    <row r="3">
      <c r="A3" s="18" t="n"/>
      <c r="F3" s="19" t="n"/>
      <c r="G3" s="19" t="n"/>
      <c r="H3" s="20">
        <f>IF(COUNT(F3:G3)=0,"",SUM(F3:G3))</f>
        <v/>
      </c>
    </row>
    <row r="4">
      <c r="A4" s="18" t="n"/>
      <c r="F4" s="19" t="n"/>
      <c r="G4" s="19" t="n"/>
      <c r="H4" s="20">
        <f>IF(COUNT(F4:G4)=0,"",SUM(F4:G4))</f>
        <v/>
      </c>
    </row>
    <row r="5">
      <c r="A5" s="18" t="n"/>
      <c r="F5" s="19" t="n"/>
      <c r="G5" s="19" t="n"/>
      <c r="H5" s="20">
        <f>IF(COUNT(F5:G5)=0,"",SUM(F5:G5))</f>
        <v/>
      </c>
    </row>
    <row r="6">
      <c r="A6" s="18" t="n"/>
      <c r="F6" s="19" t="n"/>
      <c r="G6" s="19" t="n"/>
      <c r="H6" s="20">
        <f>IF(COUNT(F6:G6)=0,"",SUM(F6:G6))</f>
        <v/>
      </c>
    </row>
    <row r="7">
      <c r="A7" s="18" t="n"/>
      <c r="F7" s="19" t="n"/>
      <c r="G7" s="19" t="n"/>
      <c r="H7" s="20">
        <f>IF(COUNT(F7:G7)=0,"",SUM(F7:G7))</f>
        <v/>
      </c>
    </row>
    <row r="8">
      <c r="A8" s="18" t="n"/>
      <c r="F8" s="19" t="n"/>
      <c r="G8" s="19" t="n"/>
      <c r="H8" s="20">
        <f>IF(COUNT(F8:G8)=0,"",SUM(F8:G8))</f>
        <v/>
      </c>
    </row>
    <row r="9">
      <c r="A9" s="18" t="n"/>
      <c r="F9" s="19" t="n"/>
      <c r="G9" s="19" t="n"/>
      <c r="H9" s="20">
        <f>IF(COUNT(F9:G9)=0,"",SUM(F9:G9))</f>
        <v/>
      </c>
    </row>
    <row r="10">
      <c r="A10" s="18" t="n"/>
      <c r="F10" s="19" t="n"/>
      <c r="G10" s="19" t="n"/>
      <c r="H10" s="20">
        <f>IF(COUNT(F10:G10)=0,"",SUM(F10:G10))</f>
        <v/>
      </c>
    </row>
    <row r="11">
      <c r="A11" s="18" t="n"/>
      <c r="F11" s="19" t="n"/>
      <c r="G11" s="19" t="n"/>
      <c r="H11" s="20">
        <f>IF(COUNT(F11:G11)=0,"",SUM(F11:G11))</f>
        <v/>
      </c>
    </row>
    <row r="12">
      <c r="A12" s="18" t="n"/>
      <c r="F12" s="19" t="n"/>
      <c r="G12" s="19" t="n"/>
      <c r="H12" s="20">
        <f>IF(COUNT(F12:G12)=0,"",SUM(F12:G12))</f>
        <v/>
      </c>
    </row>
    <row r="13">
      <c r="A13" s="18" t="n"/>
      <c r="F13" s="19" t="n"/>
      <c r="G13" s="19" t="n"/>
      <c r="H13" s="20">
        <f>IF(COUNT(F13:G13)=0,"",SUM(F13:G13))</f>
        <v/>
      </c>
    </row>
    <row r="14">
      <c r="A14" s="18" t="n"/>
      <c r="F14" s="19" t="n"/>
      <c r="G14" s="19" t="n"/>
      <c r="H14" s="20">
        <f>IF(COUNT(F14:G14)=0,"",SUM(F14:G14))</f>
        <v/>
      </c>
    </row>
    <row r="15">
      <c r="A15" s="18" t="n"/>
      <c r="F15" s="19" t="n"/>
      <c r="G15" s="19" t="n"/>
      <c r="H15" s="20">
        <f>IF(COUNT(F15:G15)=0,"",SUM(F15:G15))</f>
        <v/>
      </c>
    </row>
    <row r="16">
      <c r="A16" s="18" t="n"/>
      <c r="F16" s="19" t="n"/>
      <c r="G16" s="19" t="n"/>
      <c r="H16" s="20">
        <f>IF(COUNT(F16:G16)=0,"",SUM(F16:G16))</f>
        <v/>
      </c>
    </row>
    <row r="17">
      <c r="A17" s="18" t="n"/>
      <c r="F17" s="19" t="n"/>
      <c r="G17" s="19" t="n"/>
      <c r="H17" s="20">
        <f>IF(COUNT(F17:G17)=0,"",SUM(F17:G17))</f>
        <v/>
      </c>
    </row>
    <row r="18">
      <c r="A18" s="18" t="n"/>
      <c r="F18" s="19" t="n"/>
      <c r="G18" s="19" t="n"/>
      <c r="H18" s="20">
        <f>IF(COUNT(F18:G18)=0,"",SUM(F18:G18))</f>
        <v/>
      </c>
    </row>
    <row r="19">
      <c r="A19" s="18" t="n"/>
      <c r="F19" s="19" t="n"/>
      <c r="G19" s="19" t="n"/>
      <c r="H19" s="20">
        <f>IF(COUNT(F19:G19)=0,"",SUM(F19:G19))</f>
        <v/>
      </c>
    </row>
    <row r="20">
      <c r="A20" s="18" t="n"/>
      <c r="F20" s="19" t="n"/>
      <c r="G20" s="19" t="n"/>
      <c r="H20" s="20">
        <f>IF(COUNT(F20:G20)=0,"",SUM(F20:G20))</f>
        <v/>
      </c>
    </row>
    <row r="21">
      <c r="A21" s="18" t="n"/>
      <c r="F21" s="19" t="n"/>
      <c r="G21" s="19" t="n"/>
      <c r="H21" s="20">
        <f>IF(COUNT(F21:G21)=0,"",SUM(F21:G21))</f>
        <v/>
      </c>
    </row>
    <row r="22">
      <c r="A22" s="18" t="n"/>
      <c r="F22" s="19" t="n"/>
      <c r="G22" s="19" t="n"/>
      <c r="H22" s="20">
        <f>IF(COUNT(F22:G22)=0,"",SUM(F22:G22))</f>
        <v/>
      </c>
    </row>
    <row r="23">
      <c r="A23" s="18" t="n"/>
      <c r="F23" s="19" t="n"/>
      <c r="G23" s="19" t="n"/>
      <c r="H23" s="20">
        <f>IF(COUNT(F23:G23)=0,"",SUM(F23:G23))</f>
        <v/>
      </c>
    </row>
    <row r="24">
      <c r="A24" s="18" t="n"/>
      <c r="F24" s="19" t="n"/>
      <c r="G24" s="19" t="n"/>
      <c r="H24" s="20">
        <f>IF(COUNT(F24:G24)=0,"",SUM(F24:G24))</f>
        <v/>
      </c>
    </row>
    <row r="25">
      <c r="A25" s="18" t="n"/>
      <c r="F25" s="19" t="n"/>
      <c r="G25" s="19" t="n"/>
      <c r="H25" s="20">
        <f>IF(COUNT(F25:G25)=0,"",SUM(F25:G25))</f>
        <v/>
      </c>
    </row>
    <row r="26">
      <c r="A26" s="18" t="n"/>
      <c r="F26" s="19" t="n"/>
      <c r="G26" s="19" t="n"/>
      <c r="H26" s="20">
        <f>IF(COUNT(F26:G26)=0,"",SUM(F26:G26))</f>
        <v/>
      </c>
    </row>
    <row r="27">
      <c r="A27" s="18" t="n"/>
      <c r="F27" s="19" t="n"/>
      <c r="G27" s="19" t="n"/>
      <c r="H27" s="20">
        <f>IF(COUNT(F27:G27)=0,"",SUM(F27:G27))</f>
        <v/>
      </c>
    </row>
    <row r="28">
      <c r="A28" s="18" t="n"/>
      <c r="F28" s="19" t="n"/>
      <c r="G28" s="19" t="n"/>
      <c r="H28" s="20">
        <f>IF(COUNT(F28:G28)=0,"",SUM(F28:G28))</f>
        <v/>
      </c>
    </row>
    <row r="29">
      <c r="A29" s="18" t="n"/>
      <c r="F29" s="19" t="n"/>
      <c r="G29" s="19" t="n"/>
      <c r="H29" s="20">
        <f>IF(COUNT(F29:G29)=0,"",SUM(F29:G29))</f>
        <v/>
      </c>
    </row>
    <row r="30">
      <c r="A30" s="18" t="n"/>
      <c r="F30" s="19" t="n"/>
      <c r="G30" s="19" t="n"/>
      <c r="H30" s="20">
        <f>IF(COUNT(F30:G30)=0,"",SUM(F30:G30))</f>
        <v/>
      </c>
    </row>
    <row r="31">
      <c r="A31" s="18" t="n"/>
      <c r="F31" s="19" t="n"/>
      <c r="G31" s="19" t="n"/>
      <c r="H31" s="20">
        <f>IF(COUNT(F31:G31)=0,"",SUM(F31:G31))</f>
        <v/>
      </c>
    </row>
    <row r="32">
      <c r="A32" s="18" t="n"/>
      <c r="F32" s="19" t="n"/>
      <c r="G32" s="19" t="n"/>
      <c r="H32" s="20">
        <f>IF(COUNT(F32:G32)=0,"",SUM(F32:G32))</f>
        <v/>
      </c>
    </row>
    <row r="33">
      <c r="A33" s="18" t="n"/>
      <c r="F33" s="19" t="n"/>
      <c r="G33" s="19" t="n"/>
      <c r="H33" s="20">
        <f>IF(COUNT(F33:G33)=0,"",SUM(F33:G33))</f>
        <v/>
      </c>
    </row>
    <row r="34">
      <c r="A34" s="18" t="n"/>
      <c r="F34" s="19" t="n"/>
      <c r="G34" s="19" t="n"/>
      <c r="H34" s="20">
        <f>IF(COUNT(F34:G34)=0,"",SUM(F34:G34))</f>
        <v/>
      </c>
    </row>
    <row r="35">
      <c r="A35" s="18" t="n"/>
      <c r="F35" s="19" t="n"/>
      <c r="G35" s="19" t="n"/>
      <c r="H35" s="20">
        <f>IF(COUNT(F35:G35)=0,"",SUM(F35:G35))</f>
        <v/>
      </c>
    </row>
    <row r="36">
      <c r="A36" s="18" t="n"/>
      <c r="F36" s="19" t="n"/>
      <c r="G36" s="19" t="n"/>
      <c r="H36" s="20">
        <f>IF(COUNT(F36:G36)=0,"",SUM(F36:G36))</f>
        <v/>
      </c>
    </row>
    <row r="37">
      <c r="A37" s="18" t="n"/>
      <c r="F37" s="19" t="n"/>
      <c r="G37" s="19" t="n"/>
      <c r="H37" s="20">
        <f>IF(COUNT(F37:G37)=0,"",SUM(F37:G37))</f>
        <v/>
      </c>
    </row>
    <row r="38">
      <c r="A38" s="18" t="n"/>
      <c r="F38" s="19" t="n"/>
      <c r="G38" s="19" t="n"/>
      <c r="H38" s="20">
        <f>IF(COUNT(F38:G38)=0,"",SUM(F38:G38))</f>
        <v/>
      </c>
    </row>
    <row r="39">
      <c r="A39" s="18" t="n"/>
      <c r="F39" s="19" t="n"/>
      <c r="G39" s="19" t="n"/>
      <c r="H39" s="20">
        <f>IF(COUNT(F39:G39)=0,"",SUM(F39:G39))</f>
        <v/>
      </c>
    </row>
    <row r="40">
      <c r="A40" s="18" t="n"/>
      <c r="F40" s="19" t="n"/>
      <c r="G40" s="19" t="n"/>
      <c r="H40" s="20">
        <f>IF(COUNT(F40:G40)=0,"",SUM(F40:G40))</f>
        <v/>
      </c>
    </row>
    <row r="41">
      <c r="A41" s="18" t="n"/>
      <c r="F41" s="19" t="n"/>
      <c r="G41" s="19" t="n"/>
      <c r="H41" s="20">
        <f>IF(COUNT(F41:G41)=0,"",SUM(F41:G41))</f>
        <v/>
      </c>
    </row>
    <row r="42">
      <c r="A42" s="18" t="n"/>
      <c r="F42" s="19" t="n"/>
      <c r="G42" s="19" t="n"/>
      <c r="H42" s="20">
        <f>IF(COUNT(F42:G42)=0,"",SUM(F42:G42))</f>
        <v/>
      </c>
    </row>
    <row r="43">
      <c r="A43" s="18" t="n"/>
      <c r="F43" s="19" t="n"/>
      <c r="G43" s="19" t="n"/>
      <c r="H43" s="20">
        <f>IF(COUNT(F43:G43)=0,"",SUM(F43:G43))</f>
        <v/>
      </c>
    </row>
    <row r="44">
      <c r="A44" s="18" t="n"/>
      <c r="F44" s="19" t="n"/>
      <c r="G44" s="19" t="n"/>
      <c r="H44" s="20">
        <f>IF(COUNT(F44:G44)=0,"",SUM(F44:G44))</f>
        <v/>
      </c>
    </row>
    <row r="45">
      <c r="A45" s="18" t="n"/>
      <c r="F45" s="19" t="n"/>
      <c r="G45" s="19" t="n"/>
      <c r="H45" s="20">
        <f>IF(COUNT(F45:G45)=0,"",SUM(F45:G45))</f>
        <v/>
      </c>
    </row>
    <row r="46">
      <c r="A46" s="18" t="n"/>
      <c r="F46" s="19" t="n"/>
      <c r="G46" s="19" t="n"/>
      <c r="H46" s="20">
        <f>IF(COUNT(F46:G46)=0,"",SUM(F46:G46))</f>
        <v/>
      </c>
    </row>
    <row r="47">
      <c r="A47" s="18" t="n"/>
      <c r="F47" s="19" t="n"/>
      <c r="G47" s="19" t="n"/>
      <c r="H47" s="20">
        <f>IF(COUNT(F47:G47)=0,"",SUM(F47:G47))</f>
        <v/>
      </c>
    </row>
    <row r="48">
      <c r="A48" s="18" t="n"/>
      <c r="F48" s="19" t="n"/>
      <c r="G48" s="19" t="n"/>
      <c r="H48" s="20">
        <f>IF(COUNT(F48:G48)=0,"",SUM(F48:G48))</f>
        <v/>
      </c>
    </row>
    <row r="49">
      <c r="A49" s="18" t="n"/>
      <c r="F49" s="19" t="n"/>
      <c r="G49" s="19" t="n"/>
      <c r="H49" s="20">
        <f>IF(COUNT(F49:G49)=0,"",SUM(F49:G49))</f>
        <v/>
      </c>
    </row>
    <row r="50">
      <c r="A50" s="18" t="n"/>
      <c r="F50" s="19" t="n"/>
      <c r="G50" s="19" t="n"/>
      <c r="H50" s="20">
        <f>IF(COUNT(F50:G50)=0,"",SUM(F50:G50))</f>
        <v/>
      </c>
    </row>
    <row r="51">
      <c r="A51" s="18" t="n"/>
      <c r="F51" s="19" t="n"/>
      <c r="G51" s="19" t="n"/>
      <c r="H51" s="20">
        <f>IF(COUNT(F51:G51)=0,"",SUM(F51:G51))</f>
        <v/>
      </c>
    </row>
    <row r="52">
      <c r="A52" s="18" t="n"/>
      <c r="F52" s="19" t="n"/>
      <c r="G52" s="19" t="n"/>
      <c r="H52" s="20">
        <f>IF(COUNT(F52:G52)=0,"",SUM(F52:G52))</f>
        <v/>
      </c>
    </row>
    <row r="53">
      <c r="A53" s="18" t="n"/>
      <c r="F53" s="19" t="n"/>
      <c r="G53" s="19" t="n"/>
      <c r="H53" s="20">
        <f>IF(COUNT(F53:G53)=0,"",SUM(F53:G53))</f>
        <v/>
      </c>
    </row>
    <row r="54">
      <c r="A54" s="18" t="n"/>
      <c r="F54" s="19" t="n"/>
      <c r="G54" s="19" t="n"/>
      <c r="H54" s="20">
        <f>IF(COUNT(F54:G54)=0,"",SUM(F54:G54))</f>
        <v/>
      </c>
    </row>
    <row r="55">
      <c r="A55" s="18" t="n"/>
      <c r="F55" s="19" t="n"/>
      <c r="G55" s="19" t="n"/>
      <c r="H55" s="20">
        <f>IF(COUNT(F55:G55)=0,"",SUM(F55:G55))</f>
        <v/>
      </c>
    </row>
    <row r="56">
      <c r="A56" s="18" t="n"/>
      <c r="F56" s="19" t="n"/>
      <c r="G56" s="19" t="n"/>
      <c r="H56" s="20">
        <f>IF(COUNT(F56:G56)=0,"",SUM(F56:G56))</f>
        <v/>
      </c>
    </row>
    <row r="57">
      <c r="A57" s="18" t="n"/>
      <c r="F57" s="19" t="n"/>
      <c r="G57" s="19" t="n"/>
      <c r="H57" s="20">
        <f>IF(COUNT(F57:G57)=0,"",SUM(F57:G57))</f>
        <v/>
      </c>
    </row>
    <row r="58">
      <c r="A58" s="18" t="n"/>
      <c r="F58" s="19" t="n"/>
      <c r="G58" s="19" t="n"/>
      <c r="H58" s="20">
        <f>IF(COUNT(F58:G58)=0,"",SUM(F58:G58))</f>
        <v/>
      </c>
    </row>
    <row r="59">
      <c r="A59" s="18" t="n"/>
      <c r="F59" s="19" t="n"/>
      <c r="G59" s="19" t="n"/>
      <c r="H59" s="20">
        <f>IF(COUNT(F59:G59)=0,"",SUM(F59:G59))</f>
        <v/>
      </c>
    </row>
    <row r="60">
      <c r="A60" s="18" t="n"/>
      <c r="F60" s="19" t="n"/>
      <c r="G60" s="19" t="n"/>
      <c r="H60" s="20">
        <f>IF(COUNT(F60:G60)=0,"",SUM(F60:G60))</f>
        <v/>
      </c>
    </row>
    <row r="61">
      <c r="A61" s="18" t="n"/>
      <c r="F61" s="19" t="n"/>
      <c r="G61" s="19" t="n"/>
      <c r="H61" s="20">
        <f>IF(COUNT(F61:G61)=0,"",SUM(F61:G61))</f>
        <v/>
      </c>
    </row>
    <row r="62">
      <c r="A62" s="18" t="n"/>
      <c r="F62" s="19" t="n"/>
      <c r="G62" s="19" t="n"/>
      <c r="H62" s="20">
        <f>IF(COUNT(F62:G62)=0,"",SUM(F62:G62))</f>
        <v/>
      </c>
    </row>
    <row r="63">
      <c r="A63" s="18" t="n"/>
      <c r="F63" s="19" t="n"/>
      <c r="G63" s="19" t="n"/>
      <c r="H63" s="20">
        <f>IF(COUNT(F63:G63)=0,"",SUM(F63:G63))</f>
        <v/>
      </c>
    </row>
    <row r="64">
      <c r="A64" s="18" t="n"/>
      <c r="F64" s="19" t="n"/>
      <c r="G64" s="19" t="n"/>
      <c r="H64" s="20">
        <f>IF(COUNT(F64:G64)=0,"",SUM(F64:G64))</f>
        <v/>
      </c>
    </row>
    <row r="65">
      <c r="A65" s="18" t="n"/>
      <c r="F65" s="19" t="n"/>
      <c r="G65" s="19" t="n"/>
      <c r="H65" s="20">
        <f>IF(COUNT(F65:G65)=0,"",SUM(F65:G65))</f>
        <v/>
      </c>
    </row>
    <row r="66">
      <c r="A66" s="18" t="n"/>
      <c r="F66" s="19" t="n"/>
      <c r="G66" s="19" t="n"/>
      <c r="H66" s="20">
        <f>IF(COUNT(F66:G66)=0,"",SUM(F66:G66))</f>
        <v/>
      </c>
    </row>
    <row r="67">
      <c r="A67" s="18" t="n"/>
      <c r="F67" s="19" t="n"/>
      <c r="G67" s="19" t="n"/>
      <c r="H67" s="20">
        <f>IF(COUNT(F67:G67)=0,"",SUM(F67:G67))</f>
        <v/>
      </c>
    </row>
    <row r="68">
      <c r="A68" s="18" t="n"/>
      <c r="F68" s="19" t="n"/>
      <c r="G68" s="19" t="n"/>
      <c r="H68" s="20">
        <f>IF(COUNT(F68:G68)=0,"",SUM(F68:G68))</f>
        <v/>
      </c>
    </row>
    <row r="69">
      <c r="A69" s="18" t="n"/>
      <c r="F69" s="19" t="n"/>
      <c r="G69" s="19" t="n"/>
      <c r="H69" s="20">
        <f>IF(COUNT(F69:G69)=0,"",SUM(F69:G69))</f>
        <v/>
      </c>
    </row>
    <row r="70">
      <c r="A70" s="18" t="n"/>
      <c r="F70" s="19" t="n"/>
      <c r="G70" s="19" t="n"/>
      <c r="H70" s="20">
        <f>IF(COUNT(F70:G70)=0,"",SUM(F70:G70))</f>
        <v/>
      </c>
    </row>
    <row r="71">
      <c r="A71" s="18" t="n"/>
      <c r="F71" s="19" t="n"/>
      <c r="G71" s="19" t="n"/>
      <c r="H71" s="20">
        <f>IF(COUNT(F71:G71)=0,"",SUM(F71:G71))</f>
        <v/>
      </c>
    </row>
    <row r="72">
      <c r="A72" s="18" t="n"/>
      <c r="F72" s="19" t="n"/>
      <c r="G72" s="19" t="n"/>
      <c r="H72" s="20">
        <f>IF(COUNT(F72:G72)=0,"",SUM(F72:G72))</f>
        <v/>
      </c>
    </row>
    <row r="73">
      <c r="A73" s="18" t="n"/>
      <c r="F73" s="19" t="n"/>
      <c r="G73" s="19" t="n"/>
      <c r="H73" s="20">
        <f>IF(COUNT(F73:G73)=0,"",SUM(F73:G73))</f>
        <v/>
      </c>
    </row>
    <row r="74">
      <c r="A74" s="18" t="n"/>
      <c r="F74" s="19" t="n"/>
      <c r="G74" s="19" t="n"/>
      <c r="H74" s="20">
        <f>IF(COUNT(F74:G74)=0,"",SUM(F74:G74))</f>
        <v/>
      </c>
    </row>
    <row r="75">
      <c r="A75" s="18" t="n"/>
      <c r="F75" s="19" t="n"/>
      <c r="G75" s="19" t="n"/>
      <c r="H75" s="20">
        <f>IF(COUNT(F75:G75)=0,"",SUM(F75:G75))</f>
        <v/>
      </c>
    </row>
    <row r="76">
      <c r="A76" s="18" t="n"/>
      <c r="F76" s="19" t="n"/>
      <c r="G76" s="19" t="n"/>
      <c r="H76" s="20">
        <f>IF(COUNT(F76:G76)=0,"",SUM(F76:G76))</f>
        <v/>
      </c>
    </row>
    <row r="77">
      <c r="A77" s="18" t="n"/>
      <c r="F77" s="19" t="n"/>
      <c r="G77" s="19" t="n"/>
      <c r="H77" s="20">
        <f>IF(COUNT(F77:G77)=0,"",SUM(F77:G77))</f>
        <v/>
      </c>
    </row>
    <row r="78">
      <c r="A78" s="18" t="n"/>
      <c r="F78" s="19" t="n"/>
      <c r="G78" s="19" t="n"/>
      <c r="H78" s="20">
        <f>IF(COUNT(F78:G78)=0,"",SUM(F78:G78))</f>
        <v/>
      </c>
    </row>
    <row r="79">
      <c r="A79" s="18" t="n"/>
      <c r="F79" s="19" t="n"/>
      <c r="G79" s="19" t="n"/>
      <c r="H79" s="20">
        <f>IF(COUNT(F79:G79)=0,"",SUM(F79:G79))</f>
        <v/>
      </c>
    </row>
    <row r="80">
      <c r="A80" s="18" t="n"/>
      <c r="F80" s="19" t="n"/>
      <c r="G80" s="19" t="n"/>
      <c r="H80" s="20">
        <f>IF(COUNT(F80:G80)=0,"",SUM(F80:G80))</f>
        <v/>
      </c>
    </row>
    <row r="81">
      <c r="A81" s="18" t="n"/>
      <c r="F81" s="19" t="n"/>
      <c r="G81" s="19" t="n"/>
      <c r="H81" s="20">
        <f>IF(COUNT(F81:G81)=0,"",SUM(F81:G81))</f>
        <v/>
      </c>
    </row>
    <row r="82">
      <c r="A82" s="18" t="n"/>
      <c r="F82" s="19" t="n"/>
      <c r="G82" s="19" t="n"/>
      <c r="H82" s="20">
        <f>IF(COUNT(F82:G82)=0,"",SUM(F82:G82))</f>
        <v/>
      </c>
    </row>
    <row r="83">
      <c r="A83" s="18" t="n"/>
      <c r="F83" s="19" t="n"/>
      <c r="G83" s="19" t="n"/>
      <c r="H83" s="20">
        <f>IF(COUNT(F83:G83)=0,"",SUM(F83:G83))</f>
        <v/>
      </c>
    </row>
    <row r="84">
      <c r="A84" s="18" t="n"/>
      <c r="F84" s="19" t="n"/>
      <c r="G84" s="19" t="n"/>
      <c r="H84" s="20">
        <f>IF(COUNT(F84:G84)=0,"",SUM(F84:G84))</f>
        <v/>
      </c>
    </row>
    <row r="85">
      <c r="A85" s="18" t="n"/>
      <c r="F85" s="19" t="n"/>
      <c r="G85" s="19" t="n"/>
      <c r="H85" s="20">
        <f>IF(COUNT(F85:G85)=0,"",SUM(F85:G85))</f>
        <v/>
      </c>
    </row>
    <row r="86">
      <c r="A86" s="18" t="n"/>
      <c r="F86" s="19" t="n"/>
      <c r="G86" s="19" t="n"/>
      <c r="H86" s="20">
        <f>IF(COUNT(F86:G86)=0,"",SUM(F86:G86))</f>
        <v/>
      </c>
    </row>
    <row r="87">
      <c r="A87" s="18" t="n"/>
      <c r="F87" s="19" t="n"/>
      <c r="G87" s="19" t="n"/>
      <c r="H87" s="20">
        <f>IF(COUNT(F87:G87)=0,"",SUM(F87:G87))</f>
        <v/>
      </c>
    </row>
    <row r="88">
      <c r="A88" s="18" t="n"/>
      <c r="F88" s="19" t="n"/>
      <c r="G88" s="19" t="n"/>
      <c r="H88" s="20">
        <f>IF(COUNT(F88:G88)=0,"",SUM(F88:G88))</f>
        <v/>
      </c>
    </row>
    <row r="89">
      <c r="A89" s="18" t="n"/>
      <c r="F89" s="19" t="n"/>
      <c r="G89" s="19" t="n"/>
      <c r="H89" s="20">
        <f>IF(COUNT(F89:G89)=0,"",SUM(F89:G89))</f>
        <v/>
      </c>
    </row>
    <row r="90">
      <c r="A90" s="18" t="n"/>
      <c r="F90" s="19" t="n"/>
      <c r="G90" s="19" t="n"/>
      <c r="H90" s="20">
        <f>IF(COUNT(F90:G90)=0,"",SUM(F90:G90))</f>
        <v/>
      </c>
    </row>
    <row r="91">
      <c r="A91" s="18" t="n"/>
      <c r="F91" s="19" t="n"/>
      <c r="G91" s="19" t="n"/>
      <c r="H91" s="20">
        <f>IF(COUNT(F91:G91)=0,"",SUM(F91:G91))</f>
        <v/>
      </c>
    </row>
    <row r="92">
      <c r="A92" s="18" t="n"/>
      <c r="F92" s="19" t="n"/>
      <c r="G92" s="19" t="n"/>
      <c r="H92" s="20">
        <f>IF(COUNT(F92:G92)=0,"",SUM(F92:G92))</f>
        <v/>
      </c>
    </row>
    <row r="93">
      <c r="A93" s="18" t="n"/>
      <c r="F93" s="19" t="n"/>
      <c r="G93" s="19" t="n"/>
      <c r="H93" s="20">
        <f>IF(COUNT(F93:G93)=0,"",SUM(F93:G93))</f>
        <v/>
      </c>
    </row>
    <row r="94">
      <c r="A94" s="18" t="n"/>
      <c r="F94" s="19" t="n"/>
      <c r="G94" s="19" t="n"/>
      <c r="H94" s="20">
        <f>IF(COUNT(F94:G94)=0,"",SUM(F94:G94))</f>
        <v/>
      </c>
    </row>
    <row r="95">
      <c r="A95" s="18" t="n"/>
      <c r="F95" s="19" t="n"/>
      <c r="G95" s="19" t="n"/>
      <c r="H95" s="20">
        <f>IF(COUNT(F95:G95)=0,"",SUM(F95:G95))</f>
        <v/>
      </c>
    </row>
    <row r="96">
      <c r="A96" s="18" t="n"/>
      <c r="F96" s="19" t="n"/>
      <c r="G96" s="19" t="n"/>
      <c r="H96" s="20">
        <f>IF(COUNT(F96:G96)=0,"",SUM(F96:G96))</f>
        <v/>
      </c>
    </row>
    <row r="97">
      <c r="A97" s="18" t="n"/>
      <c r="F97" s="19" t="n"/>
      <c r="G97" s="19" t="n"/>
      <c r="H97" s="20">
        <f>IF(COUNT(F97:G97)=0,"",SUM(F97:G97))</f>
        <v/>
      </c>
    </row>
    <row r="98">
      <c r="A98" s="18" t="n"/>
      <c r="F98" s="19" t="n"/>
      <c r="G98" s="19" t="n"/>
      <c r="H98" s="20">
        <f>IF(COUNT(F98:G98)=0,"",SUM(F98:G98))</f>
        <v/>
      </c>
    </row>
    <row r="99">
      <c r="A99" s="18" t="n"/>
      <c r="F99" s="19" t="n"/>
      <c r="G99" s="19" t="n"/>
      <c r="H99" s="20">
        <f>IF(COUNT(F99:G99)=0,"",SUM(F99:G99))</f>
        <v/>
      </c>
    </row>
    <row r="100">
      <c r="A100" s="18" t="n"/>
      <c r="F100" s="19" t="n"/>
      <c r="G100" s="19" t="n"/>
      <c r="H100" s="20">
        <f>IF(COUNT(F100:G100)=0,"",SUM(F100:G100))</f>
        <v/>
      </c>
    </row>
    <row r="101">
      <c r="A101" s="18" t="n"/>
      <c r="F101" s="19" t="n"/>
      <c r="G101" s="19" t="n"/>
      <c r="H101" s="20">
        <f>IF(COUNT(F101:G101)=0,"",SUM(F101:G101))</f>
        <v/>
      </c>
    </row>
    <row r="102">
      <c r="A102" s="18" t="n"/>
      <c r="F102" s="19" t="n"/>
      <c r="G102" s="19" t="n"/>
      <c r="H102" s="20">
        <f>IF(COUNT(F102:G102)=0,"",SUM(F102:G102))</f>
        <v/>
      </c>
    </row>
    <row r="103">
      <c r="A103" s="18" t="n"/>
      <c r="F103" s="19" t="n"/>
      <c r="G103" s="19" t="n"/>
      <c r="H103" s="20">
        <f>IF(COUNT(F103:G103)=0,"",SUM(F103:G103))</f>
        <v/>
      </c>
    </row>
    <row r="104">
      <c r="A104" s="18" t="n"/>
      <c r="F104" s="19" t="n"/>
      <c r="G104" s="19" t="n"/>
      <c r="H104" s="20">
        <f>IF(COUNT(F104:G104)=0,"",SUM(F104:G104))</f>
        <v/>
      </c>
    </row>
    <row r="105">
      <c r="A105" s="18" t="n"/>
      <c r="F105" s="19" t="n"/>
      <c r="G105" s="19" t="n"/>
      <c r="H105" s="20">
        <f>IF(COUNT(F105:G105)=0,"",SUM(F105:G105))</f>
        <v/>
      </c>
    </row>
    <row r="106">
      <c r="A106" s="18" t="n"/>
      <c r="F106" s="19" t="n"/>
      <c r="G106" s="19" t="n"/>
      <c r="H106" s="20">
        <f>IF(COUNT(F106:G106)=0,"",SUM(F106:G106))</f>
        <v/>
      </c>
    </row>
    <row r="107">
      <c r="A107" s="18" t="n"/>
      <c r="F107" s="19" t="n"/>
      <c r="G107" s="19" t="n"/>
      <c r="H107" s="20">
        <f>IF(COUNT(F107:G107)=0,"",SUM(F107:G107))</f>
        <v/>
      </c>
    </row>
    <row r="108">
      <c r="A108" s="18" t="n"/>
      <c r="F108" s="19" t="n"/>
      <c r="G108" s="19" t="n"/>
      <c r="H108" s="20">
        <f>IF(COUNT(F108:G108)=0,"",SUM(F108:G108))</f>
        <v/>
      </c>
    </row>
    <row r="109">
      <c r="A109" s="18" t="n"/>
      <c r="F109" s="19" t="n"/>
      <c r="G109" s="19" t="n"/>
      <c r="H109" s="20">
        <f>IF(COUNT(F109:G109)=0,"",SUM(F109:G109))</f>
        <v/>
      </c>
    </row>
    <row r="110">
      <c r="A110" s="18" t="n"/>
      <c r="F110" s="19" t="n"/>
      <c r="G110" s="19" t="n"/>
      <c r="H110" s="20">
        <f>IF(COUNT(F110:G110)=0,"",SUM(F110:G110))</f>
        <v/>
      </c>
    </row>
    <row r="111">
      <c r="A111" s="18" t="n"/>
      <c r="F111" s="19" t="n"/>
      <c r="G111" s="19" t="n"/>
      <c r="H111" s="20">
        <f>IF(COUNT(F111:G111)=0,"",SUM(F111:G111))</f>
        <v/>
      </c>
    </row>
    <row r="112">
      <c r="A112" s="18" t="n"/>
      <c r="F112" s="19" t="n"/>
      <c r="G112" s="19" t="n"/>
      <c r="H112" s="20">
        <f>IF(COUNT(F112:G112)=0,"",SUM(F112:G112))</f>
        <v/>
      </c>
    </row>
    <row r="113">
      <c r="A113" s="18" t="n"/>
      <c r="F113" s="19" t="n"/>
      <c r="G113" s="19" t="n"/>
      <c r="H113" s="20">
        <f>IF(COUNT(F113:G113)=0,"",SUM(F113:G113))</f>
        <v/>
      </c>
    </row>
    <row r="114">
      <c r="A114" s="18" t="n"/>
      <c r="F114" s="19" t="n"/>
      <c r="G114" s="19" t="n"/>
      <c r="H114" s="20">
        <f>IF(COUNT(F114:G114)=0,"",SUM(F114:G114))</f>
        <v/>
      </c>
    </row>
    <row r="115">
      <c r="A115" s="18" t="n"/>
      <c r="F115" s="19" t="n"/>
      <c r="G115" s="19" t="n"/>
      <c r="H115" s="20">
        <f>IF(COUNT(F115:G115)=0,"",SUM(F115:G115))</f>
        <v/>
      </c>
    </row>
    <row r="116">
      <c r="A116" s="18" t="n"/>
      <c r="F116" s="19" t="n"/>
      <c r="G116" s="19" t="n"/>
      <c r="H116" s="20">
        <f>IF(COUNT(F116:G116)=0,"",SUM(F116:G116))</f>
        <v/>
      </c>
    </row>
    <row r="117">
      <c r="A117" s="18" t="n"/>
      <c r="F117" s="19" t="n"/>
      <c r="G117" s="19" t="n"/>
      <c r="H117" s="20">
        <f>IF(COUNT(F117:G117)=0,"",SUM(F117:G117))</f>
        <v/>
      </c>
    </row>
    <row r="118">
      <c r="A118" s="18" t="n"/>
      <c r="F118" s="19" t="n"/>
      <c r="G118" s="19" t="n"/>
      <c r="H118" s="20">
        <f>IF(COUNT(F118:G118)=0,"",SUM(F118:G118))</f>
        <v/>
      </c>
    </row>
    <row r="119">
      <c r="A119" s="18" t="n"/>
      <c r="F119" s="19" t="n"/>
      <c r="G119" s="19" t="n"/>
      <c r="H119" s="20">
        <f>IF(COUNT(F119:G119)=0,"",SUM(F119:G119))</f>
        <v/>
      </c>
    </row>
    <row r="120">
      <c r="A120" s="18" t="n"/>
      <c r="F120" s="19" t="n"/>
      <c r="G120" s="19" t="n"/>
      <c r="H120" s="20">
        <f>IF(COUNT(F120:G120)=0,"",SUM(F120:G120))</f>
        <v/>
      </c>
    </row>
    <row r="121">
      <c r="A121" s="18" t="n"/>
      <c r="F121" s="19" t="n"/>
      <c r="G121" s="19" t="n"/>
      <c r="H121" s="20">
        <f>IF(COUNT(F121:G121)=0,"",SUM(F121:G121))</f>
        <v/>
      </c>
    </row>
    <row r="122">
      <c r="A122" s="18" t="n"/>
      <c r="F122" s="19" t="n"/>
      <c r="G122" s="19" t="n"/>
      <c r="H122" s="20">
        <f>IF(COUNT(F122:G122)=0,"",SUM(F122:G122))</f>
        <v/>
      </c>
    </row>
    <row r="123">
      <c r="A123" s="18" t="n"/>
      <c r="F123" s="19" t="n"/>
      <c r="G123" s="19" t="n"/>
      <c r="H123" s="20">
        <f>IF(COUNT(F123:G123)=0,"",SUM(F123:G123))</f>
        <v/>
      </c>
    </row>
    <row r="124">
      <c r="A124" s="18" t="n"/>
      <c r="F124" s="19" t="n"/>
      <c r="G124" s="19" t="n"/>
      <c r="H124" s="20">
        <f>IF(COUNT(F124:G124)=0,"",SUM(F124:G124))</f>
        <v/>
      </c>
    </row>
    <row r="125">
      <c r="A125" s="18" t="n"/>
      <c r="F125" s="19" t="n"/>
      <c r="G125" s="19" t="n"/>
      <c r="H125" s="20">
        <f>IF(COUNT(F125:G125)=0,"",SUM(F125:G125))</f>
        <v/>
      </c>
    </row>
    <row r="126">
      <c r="A126" s="18" t="n"/>
      <c r="F126" s="19" t="n"/>
      <c r="G126" s="19" t="n"/>
      <c r="H126" s="20">
        <f>IF(COUNT(F126:G126)=0,"",SUM(F126:G126))</f>
        <v/>
      </c>
    </row>
    <row r="127">
      <c r="A127" s="18" t="n"/>
      <c r="F127" s="19" t="n"/>
      <c r="G127" s="19" t="n"/>
      <c r="H127" s="20">
        <f>IF(COUNT(F127:G127)=0,"",SUM(F127:G127))</f>
        <v/>
      </c>
    </row>
    <row r="128">
      <c r="A128" s="18" t="n"/>
      <c r="F128" s="19" t="n"/>
      <c r="G128" s="19" t="n"/>
      <c r="H128" s="20">
        <f>IF(COUNT(F128:G128)=0,"",SUM(F128:G128))</f>
        <v/>
      </c>
    </row>
    <row r="129">
      <c r="A129" s="18" t="n"/>
      <c r="F129" s="19" t="n"/>
      <c r="G129" s="19" t="n"/>
      <c r="H129" s="20">
        <f>IF(COUNT(F129:G129)=0,"",SUM(F129:G129))</f>
        <v/>
      </c>
    </row>
    <row r="130">
      <c r="A130" s="18" t="n"/>
      <c r="F130" s="19" t="n"/>
      <c r="G130" s="19" t="n"/>
      <c r="H130" s="20">
        <f>IF(COUNT(F130:G130)=0,"",SUM(F130:G130))</f>
        <v/>
      </c>
    </row>
    <row r="131">
      <c r="A131" s="18" t="n"/>
      <c r="F131" s="19" t="n"/>
      <c r="G131" s="19" t="n"/>
      <c r="H131" s="20">
        <f>IF(COUNT(F131:G131)=0,"",SUM(F131:G131))</f>
        <v/>
      </c>
    </row>
    <row r="132">
      <c r="A132" s="18" t="n"/>
      <c r="F132" s="19" t="n"/>
      <c r="G132" s="19" t="n"/>
      <c r="H132" s="20">
        <f>IF(COUNT(F132:G132)=0,"",SUM(F132:G132))</f>
        <v/>
      </c>
    </row>
    <row r="133">
      <c r="A133" s="18" t="n"/>
      <c r="F133" s="19" t="n"/>
      <c r="G133" s="19" t="n"/>
      <c r="H133" s="20">
        <f>IF(COUNT(F133:G133)=0,"",SUM(F133:G133))</f>
        <v/>
      </c>
    </row>
    <row r="134">
      <c r="A134" s="18" t="n"/>
      <c r="F134" s="19" t="n"/>
      <c r="G134" s="19" t="n"/>
      <c r="H134" s="20">
        <f>IF(COUNT(F134:G134)=0,"",SUM(F134:G134))</f>
        <v/>
      </c>
    </row>
    <row r="135">
      <c r="A135" s="18" t="n"/>
      <c r="F135" s="19" t="n"/>
      <c r="G135" s="19" t="n"/>
      <c r="H135" s="20">
        <f>IF(COUNT(F135:G135)=0,"",SUM(F135:G135))</f>
        <v/>
      </c>
    </row>
    <row r="136">
      <c r="A136" s="18" t="n"/>
      <c r="F136" s="19" t="n"/>
      <c r="G136" s="19" t="n"/>
      <c r="H136" s="20">
        <f>IF(COUNT(F136:G136)=0,"",SUM(F136:G136))</f>
        <v/>
      </c>
    </row>
    <row r="137">
      <c r="A137" s="18" t="n"/>
      <c r="F137" s="19" t="n"/>
      <c r="G137" s="19" t="n"/>
      <c r="H137" s="20">
        <f>IF(COUNT(F137:G137)=0,"",SUM(F137:G137))</f>
        <v/>
      </c>
    </row>
    <row r="138">
      <c r="A138" s="18" t="n"/>
      <c r="F138" s="19" t="n"/>
      <c r="G138" s="19" t="n"/>
      <c r="H138" s="20">
        <f>IF(COUNT(F138:G138)=0,"",SUM(F138:G138))</f>
        <v/>
      </c>
    </row>
    <row r="139">
      <c r="A139" s="18" t="n"/>
      <c r="F139" s="19" t="n"/>
      <c r="G139" s="19" t="n"/>
      <c r="H139" s="20">
        <f>IF(COUNT(F139:G139)=0,"",SUM(F139:G139))</f>
        <v/>
      </c>
    </row>
    <row r="140">
      <c r="A140" s="18" t="n"/>
      <c r="F140" s="19" t="n"/>
      <c r="G140" s="19" t="n"/>
      <c r="H140" s="20">
        <f>IF(COUNT(F140:G140)=0,"",SUM(F140:G140))</f>
        <v/>
      </c>
    </row>
    <row r="141">
      <c r="A141" s="18" t="n"/>
      <c r="F141" s="19" t="n"/>
      <c r="G141" s="19" t="n"/>
      <c r="H141" s="20">
        <f>IF(COUNT(F141:G141)=0,"",SUM(F141:G141))</f>
        <v/>
      </c>
    </row>
    <row r="142">
      <c r="A142" s="18" t="n"/>
      <c r="F142" s="19" t="n"/>
      <c r="G142" s="19" t="n"/>
      <c r="H142" s="20">
        <f>IF(COUNT(F142:G142)=0,"",SUM(F142:G142))</f>
        <v/>
      </c>
    </row>
    <row r="143">
      <c r="A143" s="18" t="n"/>
      <c r="F143" s="19" t="n"/>
      <c r="G143" s="19" t="n"/>
      <c r="H143" s="20">
        <f>IF(COUNT(F143:G143)=0,"",SUM(F143:G143))</f>
        <v/>
      </c>
    </row>
    <row r="144">
      <c r="A144" s="18" t="n"/>
      <c r="F144" s="19" t="n"/>
      <c r="G144" s="19" t="n"/>
      <c r="H144" s="20">
        <f>IF(COUNT(F144:G144)=0,"",SUM(F144:G144))</f>
        <v/>
      </c>
    </row>
    <row r="145">
      <c r="A145" s="18" t="n"/>
      <c r="F145" s="19" t="n"/>
      <c r="G145" s="19" t="n"/>
      <c r="H145" s="20">
        <f>IF(COUNT(F145:G145)=0,"",SUM(F145:G145))</f>
        <v/>
      </c>
    </row>
    <row r="146">
      <c r="A146" s="18" t="n"/>
      <c r="F146" s="19" t="n"/>
      <c r="G146" s="19" t="n"/>
      <c r="H146" s="20">
        <f>IF(COUNT(F146:G146)=0,"",SUM(F146:G146))</f>
        <v/>
      </c>
    </row>
    <row r="147">
      <c r="A147" s="18" t="n"/>
      <c r="F147" s="19" t="n"/>
      <c r="G147" s="19" t="n"/>
      <c r="H147" s="20">
        <f>IF(COUNT(F147:G147)=0,"",SUM(F147:G147))</f>
        <v/>
      </c>
    </row>
    <row r="148">
      <c r="A148" s="18" t="n"/>
      <c r="F148" s="19" t="n"/>
      <c r="G148" s="19" t="n"/>
      <c r="H148" s="20">
        <f>IF(COUNT(F148:G148)=0,"",SUM(F148:G148))</f>
        <v/>
      </c>
    </row>
    <row r="149">
      <c r="A149" s="18" t="n"/>
      <c r="F149" s="19" t="n"/>
      <c r="G149" s="19" t="n"/>
      <c r="H149" s="20">
        <f>IF(COUNT(F149:G149)=0,"",SUM(F149:G149))</f>
        <v/>
      </c>
    </row>
    <row r="150">
      <c r="A150" s="18" t="n"/>
      <c r="F150" s="19" t="n"/>
      <c r="G150" s="19" t="n"/>
      <c r="H150" s="20">
        <f>IF(COUNT(F150:G150)=0,"",SUM(F150:G150))</f>
        <v/>
      </c>
    </row>
    <row r="151">
      <c r="A151" s="18" t="n"/>
      <c r="F151" s="19" t="n"/>
      <c r="G151" s="19" t="n"/>
      <c r="H151" s="20">
        <f>IF(COUNT(F151:G151)=0,"",SUM(F151:G151))</f>
        <v/>
      </c>
    </row>
    <row r="152">
      <c r="A152" s="18" t="n"/>
      <c r="F152" s="19" t="n"/>
      <c r="G152" s="19" t="n"/>
      <c r="H152" s="20">
        <f>IF(COUNT(F152:G152)=0,"",SUM(F152:G152))</f>
        <v/>
      </c>
    </row>
    <row r="153">
      <c r="A153" s="18" t="n"/>
      <c r="F153" s="19" t="n"/>
      <c r="G153" s="19" t="n"/>
      <c r="H153" s="20">
        <f>IF(COUNT(F153:G153)=0,"",SUM(F153:G153))</f>
        <v/>
      </c>
    </row>
    <row r="154">
      <c r="A154" s="18" t="n"/>
      <c r="F154" s="19" t="n"/>
      <c r="G154" s="19" t="n"/>
      <c r="H154" s="20">
        <f>IF(COUNT(F154:G154)=0,"",SUM(F154:G154))</f>
        <v/>
      </c>
    </row>
    <row r="155">
      <c r="A155" s="18" t="n"/>
      <c r="F155" s="19" t="n"/>
      <c r="G155" s="19" t="n"/>
      <c r="H155" s="20">
        <f>IF(COUNT(F155:G155)=0,"",SUM(F155:G155))</f>
        <v/>
      </c>
    </row>
    <row r="156">
      <c r="A156" s="18" t="n"/>
      <c r="F156" s="19" t="n"/>
      <c r="G156" s="19" t="n"/>
      <c r="H156" s="20">
        <f>IF(COUNT(F156:G156)=0,"",SUM(F156:G156))</f>
        <v/>
      </c>
    </row>
    <row r="157">
      <c r="A157" s="18" t="n"/>
      <c r="F157" s="19" t="n"/>
      <c r="G157" s="19" t="n"/>
      <c r="H157" s="20">
        <f>IF(COUNT(F157:G157)=0,"",SUM(F157:G157))</f>
        <v/>
      </c>
    </row>
    <row r="158">
      <c r="A158" s="18" t="n"/>
      <c r="F158" s="19" t="n"/>
      <c r="G158" s="19" t="n"/>
      <c r="H158" s="20">
        <f>IF(COUNT(F158:G158)=0,"",SUM(F158:G158))</f>
        <v/>
      </c>
    </row>
    <row r="159">
      <c r="A159" s="18" t="n"/>
      <c r="F159" s="19" t="n"/>
      <c r="G159" s="19" t="n"/>
      <c r="H159" s="20">
        <f>IF(COUNT(F159:G159)=0,"",SUM(F159:G159))</f>
        <v/>
      </c>
    </row>
    <row r="160">
      <c r="A160" s="18" t="n"/>
      <c r="F160" s="19" t="n"/>
      <c r="G160" s="19" t="n"/>
      <c r="H160" s="20">
        <f>IF(COUNT(F160:G160)=0,"",SUM(F160:G160))</f>
        <v/>
      </c>
    </row>
    <row r="161">
      <c r="A161" s="18" t="n"/>
      <c r="F161" s="19" t="n"/>
      <c r="G161" s="19" t="n"/>
      <c r="H161" s="20">
        <f>IF(COUNT(F161:G161)=0,"",SUM(F161:G161))</f>
        <v/>
      </c>
    </row>
    <row r="162">
      <c r="A162" s="18" t="n"/>
      <c r="F162" s="19" t="n"/>
      <c r="G162" s="19" t="n"/>
      <c r="H162" s="20">
        <f>IF(COUNT(F162:G162)=0,"",SUM(F162:G162))</f>
        <v/>
      </c>
    </row>
    <row r="163">
      <c r="A163" s="18" t="n"/>
      <c r="F163" s="19" t="n"/>
      <c r="G163" s="19" t="n"/>
      <c r="H163" s="20">
        <f>IF(COUNT(F163:G163)=0,"",SUM(F163:G163))</f>
        <v/>
      </c>
    </row>
    <row r="164">
      <c r="A164" s="18" t="n"/>
      <c r="F164" s="19" t="n"/>
      <c r="G164" s="19" t="n"/>
      <c r="H164" s="20">
        <f>IF(COUNT(F164:G164)=0,"",SUM(F164:G164))</f>
        <v/>
      </c>
    </row>
    <row r="165">
      <c r="A165" s="18" t="n"/>
      <c r="F165" s="19" t="n"/>
      <c r="G165" s="19" t="n"/>
      <c r="H165" s="20">
        <f>IF(COUNT(F165:G165)=0,"",SUM(F165:G165))</f>
        <v/>
      </c>
    </row>
    <row r="166">
      <c r="A166" s="18" t="n"/>
      <c r="F166" s="19" t="n"/>
      <c r="G166" s="19" t="n"/>
      <c r="H166" s="20">
        <f>IF(COUNT(F166:G166)=0,"",SUM(F166:G166))</f>
        <v/>
      </c>
    </row>
    <row r="167">
      <c r="A167" s="18" t="n"/>
      <c r="F167" s="19" t="n"/>
      <c r="G167" s="19" t="n"/>
      <c r="H167" s="20">
        <f>IF(COUNT(F167:G167)=0,"",SUM(F167:G167))</f>
        <v/>
      </c>
    </row>
    <row r="168">
      <c r="A168" s="18" t="n"/>
      <c r="F168" s="19" t="n"/>
      <c r="G168" s="19" t="n"/>
      <c r="H168" s="20">
        <f>IF(COUNT(F168:G168)=0,"",SUM(F168:G168))</f>
        <v/>
      </c>
    </row>
    <row r="169">
      <c r="A169" s="18" t="n"/>
      <c r="F169" s="19" t="n"/>
      <c r="G169" s="19" t="n"/>
      <c r="H169" s="20">
        <f>IF(COUNT(F169:G169)=0,"",SUM(F169:G169))</f>
        <v/>
      </c>
    </row>
    <row r="170">
      <c r="A170" s="18" t="n"/>
      <c r="F170" s="19" t="n"/>
      <c r="G170" s="19" t="n"/>
      <c r="H170" s="20">
        <f>IF(COUNT(F170:G170)=0,"",SUM(F170:G170))</f>
        <v/>
      </c>
    </row>
    <row r="171">
      <c r="A171" s="18" t="n"/>
      <c r="F171" s="19" t="n"/>
      <c r="G171" s="19" t="n"/>
      <c r="H171" s="20">
        <f>IF(COUNT(F171:G171)=0,"",SUM(F171:G171))</f>
        <v/>
      </c>
    </row>
    <row r="172">
      <c r="A172" s="18" t="n"/>
      <c r="F172" s="19" t="n"/>
      <c r="G172" s="19" t="n"/>
      <c r="H172" s="20">
        <f>IF(COUNT(F172:G172)=0,"",SUM(F172:G172))</f>
        <v/>
      </c>
    </row>
    <row r="173">
      <c r="A173" s="18" t="n"/>
      <c r="F173" s="19" t="n"/>
      <c r="G173" s="19" t="n"/>
      <c r="H173" s="20">
        <f>IF(COUNT(F173:G173)=0,"",SUM(F173:G173))</f>
        <v/>
      </c>
    </row>
    <row r="174">
      <c r="A174" s="18" t="n"/>
      <c r="F174" s="19" t="n"/>
      <c r="G174" s="19" t="n"/>
      <c r="H174" s="20">
        <f>IF(COUNT(F174:G174)=0,"",SUM(F174:G174))</f>
        <v/>
      </c>
    </row>
    <row r="175">
      <c r="A175" s="18" t="n"/>
      <c r="F175" s="19" t="n"/>
      <c r="G175" s="19" t="n"/>
      <c r="H175" s="20">
        <f>IF(COUNT(F175:G175)=0,"",SUM(F175:G175))</f>
        <v/>
      </c>
    </row>
    <row r="176">
      <c r="A176" s="18" t="n"/>
      <c r="F176" s="19" t="n"/>
      <c r="G176" s="19" t="n"/>
      <c r="H176" s="20">
        <f>IF(COUNT(F176:G176)=0,"",SUM(F176:G176))</f>
        <v/>
      </c>
    </row>
    <row r="177">
      <c r="A177" s="18" t="n"/>
      <c r="F177" s="19" t="n"/>
      <c r="G177" s="19" t="n"/>
      <c r="H177" s="20">
        <f>IF(COUNT(F177:G177)=0,"",SUM(F177:G177))</f>
        <v/>
      </c>
    </row>
    <row r="178">
      <c r="A178" s="18" t="n"/>
      <c r="F178" s="19" t="n"/>
      <c r="G178" s="19" t="n"/>
      <c r="H178" s="20">
        <f>IF(COUNT(F178:G178)=0,"",SUM(F178:G178))</f>
        <v/>
      </c>
    </row>
    <row r="179">
      <c r="A179" s="18" t="n"/>
      <c r="F179" s="19" t="n"/>
      <c r="G179" s="19" t="n"/>
      <c r="H179" s="20">
        <f>IF(COUNT(F179:G179)=0,"",SUM(F179:G179))</f>
        <v/>
      </c>
    </row>
    <row r="180">
      <c r="A180" s="18" t="n"/>
      <c r="F180" s="19" t="n"/>
      <c r="G180" s="19" t="n"/>
      <c r="H180" s="20">
        <f>IF(COUNT(F180:G180)=0,"",SUM(F180:G180))</f>
        <v/>
      </c>
    </row>
    <row r="181">
      <c r="A181" s="18" t="n"/>
      <c r="F181" s="19" t="n"/>
      <c r="G181" s="19" t="n"/>
      <c r="H181" s="20">
        <f>IF(COUNT(F181:G181)=0,"",SUM(F181:G181))</f>
        <v/>
      </c>
    </row>
    <row r="182">
      <c r="A182" s="18" t="n"/>
      <c r="F182" s="19" t="n"/>
      <c r="G182" s="19" t="n"/>
      <c r="H182" s="20">
        <f>IF(COUNT(F182:G182)=0,"",SUM(F182:G182))</f>
        <v/>
      </c>
    </row>
    <row r="183">
      <c r="A183" s="18" t="n"/>
      <c r="F183" s="19" t="n"/>
      <c r="G183" s="19" t="n"/>
      <c r="H183" s="20">
        <f>IF(COUNT(F183:G183)=0,"",SUM(F183:G183))</f>
        <v/>
      </c>
    </row>
    <row r="184">
      <c r="A184" s="18" t="n"/>
      <c r="F184" s="19" t="n"/>
      <c r="G184" s="19" t="n"/>
      <c r="H184" s="20">
        <f>IF(COUNT(F184:G184)=0,"",SUM(F184:G184))</f>
        <v/>
      </c>
    </row>
    <row r="185">
      <c r="A185" s="18" t="n"/>
      <c r="F185" s="19" t="n"/>
      <c r="G185" s="19" t="n"/>
      <c r="H185" s="20">
        <f>IF(COUNT(F185:G185)=0,"",SUM(F185:G185))</f>
        <v/>
      </c>
    </row>
    <row r="186">
      <c r="A186" s="18" t="n"/>
      <c r="F186" s="19" t="n"/>
      <c r="G186" s="19" t="n"/>
      <c r="H186" s="20">
        <f>IF(COUNT(F186:G186)=0,"",SUM(F186:G186))</f>
        <v/>
      </c>
    </row>
    <row r="187">
      <c r="A187" s="18" t="n"/>
      <c r="F187" s="19" t="n"/>
      <c r="G187" s="19" t="n"/>
      <c r="H187" s="20">
        <f>IF(COUNT(F187:G187)=0,"",SUM(F187:G187))</f>
        <v/>
      </c>
    </row>
    <row r="188">
      <c r="A188" s="18" t="n"/>
      <c r="F188" s="19" t="n"/>
      <c r="G188" s="19" t="n"/>
      <c r="H188" s="20">
        <f>IF(COUNT(F188:G188)=0,"",SUM(F188:G188))</f>
        <v/>
      </c>
    </row>
    <row r="189">
      <c r="A189" s="18" t="n"/>
      <c r="F189" s="19" t="n"/>
      <c r="G189" s="19" t="n"/>
      <c r="H189" s="20">
        <f>IF(COUNT(F189:G189)=0,"",SUM(F189:G189))</f>
        <v/>
      </c>
    </row>
    <row r="190">
      <c r="A190" s="18" t="n"/>
      <c r="F190" s="19" t="n"/>
      <c r="G190" s="19" t="n"/>
      <c r="H190" s="20">
        <f>IF(COUNT(F190:G190)=0,"",SUM(F190:G190))</f>
        <v/>
      </c>
    </row>
    <row r="191">
      <c r="A191" s="18" t="n"/>
      <c r="F191" s="19" t="n"/>
      <c r="G191" s="19" t="n"/>
      <c r="H191" s="20">
        <f>IF(COUNT(F191:G191)=0,"",SUM(F191:G191))</f>
        <v/>
      </c>
    </row>
    <row r="192">
      <c r="A192" s="18" t="n"/>
      <c r="F192" s="19" t="n"/>
      <c r="G192" s="19" t="n"/>
      <c r="H192" s="20">
        <f>IF(COUNT(F192:G192)=0,"",SUM(F192:G192))</f>
        <v/>
      </c>
    </row>
    <row r="193">
      <c r="A193" s="18" t="n"/>
      <c r="F193" s="19" t="n"/>
      <c r="G193" s="19" t="n"/>
      <c r="H193" s="20">
        <f>IF(COUNT(F193:G193)=0,"",SUM(F193:G193))</f>
        <v/>
      </c>
    </row>
    <row r="194">
      <c r="A194" s="18" t="n"/>
      <c r="F194" s="19" t="n"/>
      <c r="G194" s="19" t="n"/>
      <c r="H194" s="20">
        <f>IF(COUNT(F194:G194)=0,"",SUM(F194:G194))</f>
        <v/>
      </c>
    </row>
    <row r="195">
      <c r="A195" s="18" t="n"/>
      <c r="F195" s="19" t="n"/>
      <c r="G195" s="19" t="n"/>
      <c r="H195" s="20">
        <f>IF(COUNT(F195:G195)=0,"",SUM(F195:G195))</f>
        <v/>
      </c>
    </row>
    <row r="196">
      <c r="A196" s="18" t="n"/>
      <c r="F196" s="19" t="n"/>
      <c r="G196" s="19" t="n"/>
      <c r="H196" s="20">
        <f>IF(COUNT(F196:G196)=0,"",SUM(F196:G196))</f>
        <v/>
      </c>
    </row>
    <row r="197">
      <c r="A197" s="18" t="n"/>
      <c r="F197" s="19" t="n"/>
      <c r="G197" s="19" t="n"/>
      <c r="H197" s="20">
        <f>IF(COUNT(F197:G197)=0,"",SUM(F197:G197))</f>
        <v/>
      </c>
    </row>
    <row r="198">
      <c r="A198" s="18" t="n"/>
      <c r="F198" s="19" t="n"/>
      <c r="G198" s="19" t="n"/>
      <c r="H198" s="20">
        <f>IF(COUNT(F198:G198)=0,"",SUM(F198:G198))</f>
        <v/>
      </c>
    </row>
    <row r="199">
      <c r="A199" s="18" t="n"/>
      <c r="F199" s="19" t="n"/>
      <c r="G199" s="19" t="n"/>
      <c r="H199" s="20">
        <f>IF(COUNT(F199:G199)=0,"",SUM(F199:G199))</f>
        <v/>
      </c>
    </row>
    <row r="200">
      <c r="A200" s="18" t="n"/>
      <c r="F200" s="19" t="n"/>
      <c r="G200" s="19" t="n"/>
      <c r="H200" s="20">
        <f>IF(COUNT(F200:G200)=0,"",SUM(F200:G200))</f>
        <v/>
      </c>
    </row>
    <row r="201">
      <c r="A201" s="18" t="n"/>
      <c r="F201" s="19" t="n"/>
      <c r="G201" s="19" t="n"/>
      <c r="H201" s="20">
        <f>IF(COUNT(F201:G201)=0,"",SUM(F201:G201))</f>
        <v/>
      </c>
    </row>
    <row r="202">
      <c r="A202" s="18" t="n"/>
      <c r="F202" s="19" t="n"/>
      <c r="G202" s="19" t="n"/>
      <c r="H202" s="20">
        <f>IF(COUNT(F202:G202)=0,"",SUM(F202:G202))</f>
        <v/>
      </c>
    </row>
    <row r="203">
      <c r="A203" s="18" t="n"/>
      <c r="F203" s="19" t="n"/>
      <c r="G203" s="19" t="n"/>
      <c r="H203" s="20">
        <f>IF(COUNT(F203:G203)=0,"",SUM(F203:G203))</f>
        <v/>
      </c>
    </row>
    <row r="204">
      <c r="A204" s="18" t="n"/>
      <c r="F204" s="19" t="n"/>
      <c r="G204" s="19" t="n"/>
      <c r="H204" s="20">
        <f>IF(COUNT(F204:G204)=0,"",SUM(F204:G204))</f>
        <v/>
      </c>
    </row>
    <row r="205">
      <c r="A205" s="18" t="n"/>
      <c r="F205" s="19" t="n"/>
      <c r="G205" s="19" t="n"/>
      <c r="H205" s="20">
        <f>IF(COUNT(F205:G205)=0,"",SUM(F205:G205))</f>
        <v/>
      </c>
    </row>
    <row r="206">
      <c r="A206" s="18" t="n"/>
      <c r="F206" s="19" t="n"/>
      <c r="G206" s="19" t="n"/>
      <c r="H206" s="20">
        <f>IF(COUNT(F206:G206)=0,"",SUM(F206:G206))</f>
        <v/>
      </c>
    </row>
    <row r="207">
      <c r="A207" s="18" t="n"/>
      <c r="F207" s="19" t="n"/>
      <c r="G207" s="19" t="n"/>
      <c r="H207" s="20">
        <f>IF(COUNT(F207:G207)=0,"",SUM(F207:G207))</f>
        <v/>
      </c>
    </row>
    <row r="208">
      <c r="A208" s="18" t="n"/>
      <c r="F208" s="19" t="n"/>
      <c r="G208" s="19" t="n"/>
      <c r="H208" s="20">
        <f>IF(COUNT(F208:G208)=0,"",SUM(F208:G208))</f>
        <v/>
      </c>
    </row>
    <row r="209">
      <c r="A209" s="18" t="n"/>
      <c r="F209" s="19" t="n"/>
      <c r="G209" s="19" t="n"/>
      <c r="H209" s="20">
        <f>IF(COUNT(F209:G209)=0,"",SUM(F209:G209))</f>
        <v/>
      </c>
    </row>
    <row r="210">
      <c r="A210" s="18" t="n"/>
      <c r="F210" s="19" t="n"/>
      <c r="G210" s="19" t="n"/>
      <c r="H210" s="20">
        <f>IF(COUNT(F210:G210)=0,"",SUM(F210:G210))</f>
        <v/>
      </c>
    </row>
    <row r="211">
      <c r="A211" s="18" t="n"/>
      <c r="F211" s="19" t="n"/>
      <c r="G211" s="19" t="n"/>
      <c r="H211" s="20">
        <f>IF(COUNT(F211:G211)=0,"",SUM(F211:G211))</f>
        <v/>
      </c>
    </row>
    <row r="212">
      <c r="A212" s="18" t="n"/>
      <c r="F212" s="19" t="n"/>
      <c r="G212" s="19" t="n"/>
      <c r="H212" s="20">
        <f>IF(COUNT(F212:G212)=0,"",SUM(F212:G212))</f>
        <v/>
      </c>
    </row>
    <row r="213">
      <c r="A213" s="18" t="n"/>
      <c r="F213" s="19" t="n"/>
      <c r="G213" s="19" t="n"/>
      <c r="H213" s="20">
        <f>IF(COUNT(F213:G213)=0,"",SUM(F213:G213))</f>
        <v/>
      </c>
    </row>
    <row r="214">
      <c r="A214" s="18" t="n"/>
      <c r="F214" s="19" t="n"/>
      <c r="G214" s="19" t="n"/>
      <c r="H214" s="20">
        <f>IF(COUNT(F214:G214)=0,"",SUM(F214:G214))</f>
        <v/>
      </c>
    </row>
    <row r="215">
      <c r="A215" s="18" t="n"/>
      <c r="F215" s="19" t="n"/>
      <c r="G215" s="19" t="n"/>
      <c r="H215" s="20">
        <f>IF(COUNT(F215:G215)=0,"",SUM(F215:G215))</f>
        <v/>
      </c>
    </row>
    <row r="216">
      <c r="A216" s="18" t="n"/>
      <c r="F216" s="19" t="n"/>
      <c r="G216" s="19" t="n"/>
      <c r="H216" s="20">
        <f>IF(COUNT(F216:G216)=0,"",SUM(F216:G216))</f>
        <v/>
      </c>
    </row>
    <row r="217">
      <c r="A217" s="18" t="n"/>
      <c r="F217" s="19" t="n"/>
      <c r="G217" s="19" t="n"/>
      <c r="H217" s="20">
        <f>IF(COUNT(F217:G217)=0,"",SUM(F217:G217))</f>
        <v/>
      </c>
    </row>
    <row r="218">
      <c r="A218" s="18" t="n"/>
      <c r="F218" s="19" t="n"/>
      <c r="G218" s="19" t="n"/>
      <c r="H218" s="20">
        <f>IF(COUNT(F218:G218)=0,"",SUM(F218:G218))</f>
        <v/>
      </c>
    </row>
    <row r="219">
      <c r="A219" s="18" t="n"/>
      <c r="F219" s="19" t="n"/>
      <c r="G219" s="19" t="n"/>
      <c r="H219" s="20">
        <f>IF(COUNT(F219:G219)=0,"",SUM(F219:G219))</f>
        <v/>
      </c>
    </row>
    <row r="220">
      <c r="A220" s="18" t="n"/>
      <c r="F220" s="19" t="n"/>
      <c r="G220" s="19" t="n"/>
      <c r="H220" s="20">
        <f>IF(COUNT(F220:G220)=0,"",SUM(F220:G220))</f>
        <v/>
      </c>
    </row>
    <row r="221">
      <c r="A221" s="18" t="n"/>
      <c r="F221" s="19" t="n"/>
      <c r="G221" s="19" t="n"/>
      <c r="H221" s="20">
        <f>IF(COUNT(F221:G221)=0,"",SUM(F221:G221))</f>
        <v/>
      </c>
    </row>
    <row r="222">
      <c r="A222" s="18" t="n"/>
      <c r="F222" s="19" t="n"/>
      <c r="G222" s="19" t="n"/>
      <c r="H222" s="20">
        <f>IF(COUNT(F222:G222)=0,"",SUM(F222:G222))</f>
        <v/>
      </c>
    </row>
    <row r="223">
      <c r="A223" s="18" t="n"/>
      <c r="F223" s="19" t="n"/>
      <c r="G223" s="19" t="n"/>
      <c r="H223" s="20">
        <f>IF(COUNT(F223:G223)=0,"",SUM(F223:G223))</f>
        <v/>
      </c>
    </row>
    <row r="224">
      <c r="A224" s="18" t="n"/>
      <c r="F224" s="19" t="n"/>
      <c r="G224" s="19" t="n"/>
      <c r="H224" s="20">
        <f>IF(COUNT(F224:G224)=0,"",SUM(F224:G224))</f>
        <v/>
      </c>
    </row>
    <row r="225">
      <c r="A225" s="18" t="n"/>
      <c r="F225" s="19" t="n"/>
      <c r="G225" s="19" t="n"/>
      <c r="H225" s="20">
        <f>IF(COUNT(F225:G225)=0,"",SUM(F225:G225))</f>
        <v/>
      </c>
    </row>
    <row r="226">
      <c r="A226" s="18" t="n"/>
      <c r="F226" s="19" t="n"/>
      <c r="G226" s="19" t="n"/>
      <c r="H226" s="20">
        <f>IF(COUNT(F226:G226)=0,"",SUM(F226:G226))</f>
        <v/>
      </c>
    </row>
    <row r="227">
      <c r="A227" s="18" t="n"/>
      <c r="F227" s="19" t="n"/>
      <c r="G227" s="19" t="n"/>
      <c r="H227" s="20">
        <f>IF(COUNT(F227:G227)=0,"",SUM(F227:G227))</f>
        <v/>
      </c>
    </row>
    <row r="228">
      <c r="A228" s="18" t="n"/>
      <c r="F228" s="19" t="n"/>
      <c r="G228" s="19" t="n"/>
      <c r="H228" s="20">
        <f>IF(COUNT(F228:G228)=0,"",SUM(F228:G228))</f>
        <v/>
      </c>
    </row>
    <row r="229">
      <c r="A229" s="18" t="n"/>
      <c r="F229" s="19" t="n"/>
      <c r="G229" s="19" t="n"/>
      <c r="H229" s="20">
        <f>IF(COUNT(F229:G229)=0,"",SUM(F229:G229))</f>
        <v/>
      </c>
    </row>
    <row r="230">
      <c r="A230" s="18" t="n"/>
      <c r="F230" s="19" t="n"/>
      <c r="G230" s="19" t="n"/>
      <c r="H230" s="20">
        <f>IF(COUNT(F230:G230)=0,"",SUM(F230:G230))</f>
        <v/>
      </c>
    </row>
    <row r="231">
      <c r="A231" s="18" t="n"/>
      <c r="F231" s="19" t="n"/>
      <c r="G231" s="19" t="n"/>
      <c r="H231" s="20">
        <f>IF(COUNT(F231:G231)=0,"",SUM(F231:G231))</f>
        <v/>
      </c>
    </row>
    <row r="232">
      <c r="A232" s="18" t="n"/>
      <c r="F232" s="19" t="n"/>
      <c r="G232" s="19" t="n"/>
      <c r="H232" s="20">
        <f>IF(COUNT(F232:G232)=0,"",SUM(F232:G232))</f>
        <v/>
      </c>
    </row>
    <row r="233">
      <c r="A233" s="18" t="n"/>
      <c r="F233" s="19" t="n"/>
      <c r="G233" s="19" t="n"/>
      <c r="H233" s="20">
        <f>IF(COUNT(F233:G233)=0,"",SUM(F233:G233))</f>
        <v/>
      </c>
    </row>
    <row r="234">
      <c r="A234" s="18" t="n"/>
      <c r="F234" s="19" t="n"/>
      <c r="G234" s="19" t="n"/>
      <c r="H234" s="20">
        <f>IF(COUNT(F234:G234)=0,"",SUM(F234:G234))</f>
        <v/>
      </c>
    </row>
    <row r="235">
      <c r="A235" s="18" t="n"/>
      <c r="F235" s="19" t="n"/>
      <c r="G235" s="19" t="n"/>
      <c r="H235" s="20">
        <f>IF(COUNT(F235:G235)=0,"",SUM(F235:G235))</f>
        <v/>
      </c>
    </row>
    <row r="236">
      <c r="A236" s="18" t="n"/>
      <c r="F236" s="19" t="n"/>
      <c r="G236" s="19" t="n"/>
      <c r="H236" s="20">
        <f>IF(COUNT(F236:G236)=0,"",SUM(F236:G236))</f>
        <v/>
      </c>
    </row>
    <row r="237">
      <c r="A237" s="18" t="n"/>
      <c r="F237" s="19" t="n"/>
      <c r="G237" s="19" t="n"/>
      <c r="H237" s="20">
        <f>IF(COUNT(F237:G237)=0,"",SUM(F237:G237))</f>
        <v/>
      </c>
    </row>
    <row r="238">
      <c r="A238" s="18" t="n"/>
      <c r="F238" s="19" t="n"/>
      <c r="G238" s="19" t="n"/>
      <c r="H238" s="20">
        <f>IF(COUNT(F238:G238)=0,"",SUM(F238:G238))</f>
        <v/>
      </c>
    </row>
    <row r="239">
      <c r="A239" s="18" t="n"/>
      <c r="F239" s="19" t="n"/>
      <c r="G239" s="19" t="n"/>
      <c r="H239" s="20">
        <f>IF(COUNT(F239:G239)=0,"",SUM(F239:G239))</f>
        <v/>
      </c>
    </row>
    <row r="240">
      <c r="A240" s="18" t="n"/>
      <c r="F240" s="19" t="n"/>
      <c r="G240" s="19" t="n"/>
      <c r="H240" s="20">
        <f>IF(COUNT(F240:G240)=0,"",SUM(F240:G240))</f>
        <v/>
      </c>
    </row>
    <row r="241">
      <c r="A241" s="18" t="n"/>
      <c r="F241" s="19" t="n"/>
      <c r="G241" s="19" t="n"/>
      <c r="H241" s="20">
        <f>IF(COUNT(F241:G241)=0,"",SUM(F241:G241))</f>
        <v/>
      </c>
    </row>
    <row r="242">
      <c r="A242" s="18" t="n"/>
      <c r="F242" s="19" t="n"/>
      <c r="G242" s="19" t="n"/>
      <c r="H242" s="20">
        <f>IF(COUNT(F242:G242)=0,"",SUM(F242:G242))</f>
        <v/>
      </c>
    </row>
    <row r="243">
      <c r="A243" s="18" t="n"/>
      <c r="F243" s="19" t="n"/>
      <c r="G243" s="19" t="n"/>
      <c r="H243" s="20">
        <f>IF(COUNT(F243:G243)=0,"",SUM(F243:G243))</f>
        <v/>
      </c>
    </row>
    <row r="244">
      <c r="A244" s="18" t="n"/>
      <c r="F244" s="19" t="n"/>
      <c r="G244" s="19" t="n"/>
      <c r="H244" s="20">
        <f>IF(COUNT(F244:G244)=0,"",SUM(F244:G244))</f>
        <v/>
      </c>
    </row>
    <row r="245">
      <c r="A245" s="18" t="n"/>
      <c r="F245" s="19" t="n"/>
      <c r="G245" s="19" t="n"/>
      <c r="H245" s="20">
        <f>IF(COUNT(F245:G245)=0,"",SUM(F245:G245))</f>
        <v/>
      </c>
    </row>
    <row r="246">
      <c r="A246" s="18" t="n"/>
      <c r="F246" s="19" t="n"/>
      <c r="G246" s="19" t="n"/>
      <c r="H246" s="20">
        <f>IF(COUNT(F246:G246)=0,"",SUM(F246:G246))</f>
        <v/>
      </c>
    </row>
    <row r="247">
      <c r="A247" s="18" t="n"/>
      <c r="F247" s="19" t="n"/>
      <c r="G247" s="19" t="n"/>
      <c r="H247" s="20">
        <f>IF(COUNT(F247:G247)=0,"",SUM(F247:G247))</f>
        <v/>
      </c>
    </row>
    <row r="248">
      <c r="A248" s="18" t="n"/>
      <c r="F248" s="19" t="n"/>
      <c r="G248" s="19" t="n"/>
      <c r="H248" s="20">
        <f>IF(COUNT(F248:G248)=0,"",SUM(F248:G248))</f>
        <v/>
      </c>
    </row>
    <row r="249">
      <c r="A249" s="18" t="n"/>
      <c r="F249" s="19" t="n"/>
      <c r="G249" s="19" t="n"/>
      <c r="H249" s="20">
        <f>IF(COUNT(F249:G249)=0,"",SUM(F249:G249))</f>
        <v/>
      </c>
    </row>
    <row r="250">
      <c r="A250" s="18" t="n"/>
      <c r="F250" s="19" t="n"/>
      <c r="G250" s="19" t="n"/>
      <c r="H250" s="20">
        <f>IF(COUNT(F250:G250)=0,"",SUM(F250:G250))</f>
        <v/>
      </c>
    </row>
    <row r="251">
      <c r="A251" s="18" t="n"/>
      <c r="F251" s="19" t="n"/>
      <c r="G251" s="19" t="n"/>
      <c r="H251" s="20">
        <f>IF(COUNT(F251:G251)=0,"",SUM(F251:G251))</f>
        <v/>
      </c>
    </row>
    <row r="252">
      <c r="A252" s="18" t="n"/>
      <c r="F252" s="19" t="n"/>
      <c r="G252" s="19" t="n"/>
      <c r="H252" s="20">
        <f>IF(COUNT(F252:G252)=0,"",SUM(F252:G252))</f>
        <v/>
      </c>
    </row>
    <row r="253">
      <c r="A253" s="18" t="n"/>
      <c r="F253" s="19" t="n"/>
      <c r="G253" s="19" t="n"/>
      <c r="H253" s="20">
        <f>IF(COUNT(F253:G253)=0,"",SUM(F253:G253))</f>
        <v/>
      </c>
    </row>
    <row r="254">
      <c r="A254" s="18" t="n"/>
      <c r="F254" s="19" t="n"/>
      <c r="G254" s="19" t="n"/>
      <c r="H254" s="20">
        <f>IF(COUNT(F254:G254)=0,"",SUM(F254:G254))</f>
        <v/>
      </c>
    </row>
    <row r="255">
      <c r="A255" s="18" t="n"/>
      <c r="F255" s="19" t="n"/>
      <c r="G255" s="19" t="n"/>
      <c r="H255" s="20">
        <f>IF(COUNT(F255:G255)=0,"",SUM(F255:G255))</f>
        <v/>
      </c>
    </row>
    <row r="256">
      <c r="A256" s="18" t="n"/>
      <c r="F256" s="19" t="n"/>
      <c r="G256" s="19" t="n"/>
      <c r="H256" s="20">
        <f>IF(COUNT(F256:G256)=0,"",SUM(F256:G256))</f>
        <v/>
      </c>
    </row>
    <row r="257">
      <c r="A257" s="18" t="n"/>
      <c r="F257" s="19" t="n"/>
      <c r="G257" s="19" t="n"/>
      <c r="H257" s="20">
        <f>IF(COUNT(F257:G257)=0,"",SUM(F257:G257))</f>
        <v/>
      </c>
    </row>
    <row r="258">
      <c r="A258" s="18" t="n"/>
      <c r="F258" s="19" t="n"/>
      <c r="G258" s="19" t="n"/>
      <c r="H258" s="20">
        <f>IF(COUNT(F258:G258)=0,"",SUM(F258:G258))</f>
        <v/>
      </c>
    </row>
    <row r="259">
      <c r="A259" s="18" t="n"/>
      <c r="F259" s="19" t="n"/>
      <c r="G259" s="19" t="n"/>
      <c r="H259" s="20">
        <f>IF(COUNT(F259:G259)=0,"",SUM(F259:G259))</f>
        <v/>
      </c>
    </row>
    <row r="260">
      <c r="A260" s="18" t="n"/>
      <c r="F260" s="19" t="n"/>
      <c r="G260" s="19" t="n"/>
      <c r="H260" s="20">
        <f>IF(COUNT(F260:G260)=0,"",SUM(F260:G260))</f>
        <v/>
      </c>
    </row>
    <row r="261">
      <c r="A261" s="18" t="n"/>
      <c r="F261" s="19" t="n"/>
      <c r="G261" s="19" t="n"/>
      <c r="H261" s="20">
        <f>IF(COUNT(F261:G261)=0,"",SUM(F261:G261))</f>
        <v/>
      </c>
    </row>
    <row r="262">
      <c r="A262" s="18" t="n"/>
      <c r="F262" s="19" t="n"/>
      <c r="G262" s="19" t="n"/>
      <c r="H262" s="20">
        <f>IF(COUNT(F262:G262)=0,"",SUM(F262:G262))</f>
        <v/>
      </c>
    </row>
    <row r="263">
      <c r="A263" s="18" t="n"/>
      <c r="F263" s="19" t="n"/>
      <c r="G263" s="19" t="n"/>
      <c r="H263" s="20">
        <f>IF(COUNT(F263:G263)=0,"",SUM(F263:G263))</f>
        <v/>
      </c>
    </row>
    <row r="264">
      <c r="A264" s="18" t="n"/>
      <c r="F264" s="19" t="n"/>
      <c r="G264" s="19" t="n"/>
      <c r="H264" s="20">
        <f>IF(COUNT(F264:G264)=0,"",SUM(F264:G264))</f>
        <v/>
      </c>
    </row>
    <row r="265">
      <c r="A265" s="18" t="n"/>
      <c r="F265" s="19" t="n"/>
      <c r="G265" s="19" t="n"/>
      <c r="H265" s="20">
        <f>IF(COUNT(F265:G265)=0,"",SUM(F265:G265))</f>
        <v/>
      </c>
    </row>
    <row r="266">
      <c r="A266" s="18" t="n"/>
      <c r="F266" s="19" t="n"/>
      <c r="G266" s="19" t="n"/>
      <c r="H266" s="20">
        <f>IF(COUNT(F266:G266)=0,"",SUM(F266:G266))</f>
        <v/>
      </c>
    </row>
    <row r="267">
      <c r="A267" s="18" t="n"/>
      <c r="F267" s="19" t="n"/>
      <c r="G267" s="19" t="n"/>
      <c r="H267" s="20">
        <f>IF(COUNT(F267:G267)=0,"",SUM(F267:G267))</f>
        <v/>
      </c>
    </row>
    <row r="268">
      <c r="A268" s="18" t="n"/>
      <c r="F268" s="19" t="n"/>
      <c r="G268" s="19" t="n"/>
      <c r="H268" s="20">
        <f>IF(COUNT(F268:G268)=0,"",SUM(F268:G268))</f>
        <v/>
      </c>
    </row>
    <row r="269">
      <c r="A269" s="18" t="n"/>
      <c r="F269" s="19" t="n"/>
      <c r="G269" s="19" t="n"/>
      <c r="H269" s="20">
        <f>IF(COUNT(F269:G269)=0,"",SUM(F269:G269))</f>
        <v/>
      </c>
    </row>
    <row r="270">
      <c r="A270" s="18" t="n"/>
      <c r="F270" s="19" t="n"/>
      <c r="G270" s="19" t="n"/>
      <c r="H270" s="20">
        <f>IF(COUNT(F270:G270)=0,"",SUM(F270:G270))</f>
        <v/>
      </c>
    </row>
    <row r="271">
      <c r="A271" s="18" t="n"/>
      <c r="F271" s="19" t="n"/>
      <c r="G271" s="19" t="n"/>
      <c r="H271" s="20">
        <f>IF(COUNT(F271:G271)=0,"",SUM(F271:G271))</f>
        <v/>
      </c>
    </row>
    <row r="272">
      <c r="A272" s="18" t="n"/>
      <c r="F272" s="19" t="n"/>
      <c r="G272" s="19" t="n"/>
      <c r="H272" s="20">
        <f>IF(COUNT(F272:G272)=0,"",SUM(F272:G272))</f>
        <v/>
      </c>
    </row>
    <row r="273">
      <c r="A273" s="18" t="n"/>
      <c r="F273" s="19" t="n"/>
      <c r="G273" s="19" t="n"/>
      <c r="H273" s="20">
        <f>IF(COUNT(F273:G273)=0,"",SUM(F273:G273))</f>
        <v/>
      </c>
    </row>
    <row r="274">
      <c r="A274" s="18" t="n"/>
      <c r="F274" s="19" t="n"/>
      <c r="G274" s="19" t="n"/>
      <c r="H274" s="20">
        <f>IF(COUNT(F274:G274)=0,"",SUM(F274:G274))</f>
        <v/>
      </c>
    </row>
    <row r="275">
      <c r="A275" s="18" t="n"/>
      <c r="F275" s="19" t="n"/>
      <c r="G275" s="19" t="n"/>
      <c r="H275" s="20">
        <f>IF(COUNT(F275:G275)=0,"",SUM(F275:G275))</f>
        <v/>
      </c>
    </row>
    <row r="276">
      <c r="A276" s="18" t="n"/>
      <c r="F276" s="19" t="n"/>
      <c r="G276" s="19" t="n"/>
      <c r="H276" s="20">
        <f>IF(COUNT(F276:G276)=0,"",SUM(F276:G276))</f>
        <v/>
      </c>
    </row>
    <row r="277">
      <c r="A277" s="18" t="n"/>
      <c r="F277" s="19" t="n"/>
      <c r="G277" s="19" t="n"/>
      <c r="H277" s="20">
        <f>IF(COUNT(F277:G277)=0,"",SUM(F277:G277))</f>
        <v/>
      </c>
    </row>
    <row r="278">
      <c r="A278" s="18" t="n"/>
      <c r="F278" s="19" t="n"/>
      <c r="G278" s="19" t="n"/>
      <c r="H278" s="20">
        <f>IF(COUNT(F278:G278)=0,"",SUM(F278:G278))</f>
        <v/>
      </c>
    </row>
    <row r="279">
      <c r="A279" s="18" t="n"/>
      <c r="F279" s="19" t="n"/>
      <c r="G279" s="19" t="n"/>
      <c r="H279" s="20">
        <f>IF(COUNT(F279:G279)=0,"",SUM(F279:G279))</f>
        <v/>
      </c>
    </row>
    <row r="280">
      <c r="A280" s="18" t="n"/>
      <c r="F280" s="19" t="n"/>
      <c r="G280" s="19" t="n"/>
      <c r="H280" s="20">
        <f>IF(COUNT(F280:G280)=0,"",SUM(F280:G280))</f>
        <v/>
      </c>
    </row>
    <row r="281">
      <c r="A281" s="18" t="n"/>
      <c r="F281" s="19" t="n"/>
      <c r="G281" s="19" t="n"/>
      <c r="H281" s="20">
        <f>IF(COUNT(F281:G281)=0,"",SUM(F281:G281))</f>
        <v/>
      </c>
    </row>
    <row r="282">
      <c r="A282" s="18" t="n"/>
      <c r="F282" s="19" t="n"/>
      <c r="G282" s="19" t="n"/>
      <c r="H282" s="20">
        <f>IF(COUNT(F282:G282)=0,"",SUM(F282:G282))</f>
        <v/>
      </c>
    </row>
    <row r="283">
      <c r="A283" s="18" t="n"/>
      <c r="F283" s="19" t="n"/>
      <c r="G283" s="19" t="n"/>
      <c r="H283" s="20">
        <f>IF(COUNT(F283:G283)=0,"",SUM(F283:G283))</f>
        <v/>
      </c>
    </row>
    <row r="284">
      <c r="A284" s="18" t="n"/>
      <c r="F284" s="19" t="n"/>
      <c r="G284" s="19" t="n"/>
      <c r="H284" s="20">
        <f>IF(COUNT(F284:G284)=0,"",SUM(F284:G284))</f>
        <v/>
      </c>
    </row>
    <row r="285">
      <c r="A285" s="18" t="n"/>
      <c r="F285" s="19" t="n"/>
      <c r="G285" s="19" t="n"/>
      <c r="H285" s="20">
        <f>IF(COUNT(F285:G285)=0,"",SUM(F285:G285))</f>
        <v/>
      </c>
    </row>
    <row r="286">
      <c r="A286" s="18" t="n"/>
      <c r="F286" s="19" t="n"/>
      <c r="G286" s="19" t="n"/>
      <c r="H286" s="20">
        <f>IF(COUNT(F286:G286)=0,"",SUM(F286:G286))</f>
        <v/>
      </c>
    </row>
    <row r="287">
      <c r="A287" s="18" t="n"/>
      <c r="F287" s="19" t="n"/>
      <c r="G287" s="19" t="n"/>
      <c r="H287" s="20">
        <f>IF(COUNT(F287:G287)=0,"",SUM(F287:G287))</f>
        <v/>
      </c>
    </row>
    <row r="288">
      <c r="A288" s="18" t="n"/>
      <c r="F288" s="19" t="n"/>
      <c r="G288" s="19" t="n"/>
      <c r="H288" s="20">
        <f>IF(COUNT(F288:G288)=0,"",SUM(F288:G288))</f>
        <v/>
      </c>
    </row>
    <row r="289">
      <c r="A289" s="18" t="n"/>
      <c r="F289" s="19" t="n"/>
      <c r="G289" s="19" t="n"/>
      <c r="H289" s="20">
        <f>IF(COUNT(F289:G289)=0,"",SUM(F289:G289))</f>
        <v/>
      </c>
    </row>
    <row r="290">
      <c r="A290" s="18" t="n"/>
      <c r="F290" s="19" t="n"/>
      <c r="G290" s="19" t="n"/>
      <c r="H290" s="20">
        <f>IF(COUNT(F290:G290)=0,"",SUM(F290:G290))</f>
        <v/>
      </c>
    </row>
    <row r="291">
      <c r="A291" s="18" t="n"/>
      <c r="F291" s="19" t="n"/>
      <c r="G291" s="19" t="n"/>
      <c r="H291" s="20">
        <f>IF(COUNT(F291:G291)=0,"",SUM(F291:G291))</f>
        <v/>
      </c>
    </row>
    <row r="292">
      <c r="A292" s="18" t="n"/>
      <c r="F292" s="19" t="n"/>
      <c r="G292" s="19" t="n"/>
      <c r="H292" s="20">
        <f>IF(COUNT(F292:G292)=0,"",SUM(F292:G292))</f>
        <v/>
      </c>
    </row>
    <row r="293">
      <c r="A293" s="18" t="n"/>
      <c r="F293" s="19" t="n"/>
      <c r="G293" s="19" t="n"/>
      <c r="H293" s="20">
        <f>IF(COUNT(F293:G293)=0,"",SUM(F293:G293))</f>
        <v/>
      </c>
    </row>
    <row r="294">
      <c r="A294" s="18" t="n"/>
      <c r="F294" s="19" t="n"/>
      <c r="G294" s="19" t="n"/>
      <c r="H294" s="20">
        <f>IF(COUNT(F294:G294)=0,"",SUM(F294:G294))</f>
        <v/>
      </c>
    </row>
    <row r="295">
      <c r="A295" s="18" t="n"/>
      <c r="F295" s="19" t="n"/>
      <c r="G295" s="19" t="n"/>
      <c r="H295" s="20">
        <f>IF(COUNT(F295:G295)=0,"",SUM(F295:G295))</f>
        <v/>
      </c>
    </row>
    <row r="296">
      <c r="A296" s="18" t="n"/>
      <c r="F296" s="19" t="n"/>
      <c r="G296" s="19" t="n"/>
      <c r="H296" s="20">
        <f>IF(COUNT(F296:G296)=0,"",SUM(F296:G296))</f>
        <v/>
      </c>
    </row>
    <row r="297">
      <c r="A297" s="18" t="n"/>
      <c r="F297" s="19" t="n"/>
      <c r="G297" s="19" t="n"/>
      <c r="H297" s="20">
        <f>IF(COUNT(F297:G297)=0,"",SUM(F297:G297))</f>
        <v/>
      </c>
    </row>
    <row r="298">
      <c r="A298" s="18" t="n"/>
      <c r="F298" s="19" t="n"/>
      <c r="G298" s="19" t="n"/>
      <c r="H298" s="20">
        <f>IF(COUNT(F298:G298)=0,"",SUM(F298:G298))</f>
        <v/>
      </c>
    </row>
    <row r="299">
      <c r="A299" s="18" t="n"/>
      <c r="F299" s="19" t="n"/>
      <c r="G299" s="19" t="n"/>
      <c r="H299" s="20">
        <f>IF(COUNT(F299:G299)=0,"",SUM(F299:G299))</f>
        <v/>
      </c>
    </row>
    <row r="300">
      <c r="A300" s="18" t="n"/>
      <c r="F300" s="19" t="n"/>
      <c r="G300" s="19" t="n"/>
      <c r="H300" s="20">
        <f>IF(COUNT(F300:G300)=0,"",SUM(F300:G300))</f>
        <v/>
      </c>
    </row>
    <row r="301">
      <c r="A301" s="18" t="n"/>
      <c r="F301" s="19" t="n"/>
      <c r="G301" s="19" t="n"/>
      <c r="H301" s="20">
        <f>IF(COUNT(F301:G301)=0,"",SUM(F301:G301))</f>
        <v/>
      </c>
    </row>
    <row r="302">
      <c r="A302" s="18" t="n"/>
      <c r="F302" s="19" t="n"/>
      <c r="G302" s="19" t="n"/>
      <c r="H302" s="20">
        <f>IF(COUNT(F302:G302)=0,"",SUM(F302:G302))</f>
        <v/>
      </c>
    </row>
    <row r="303">
      <c r="A303" s="18" t="n"/>
      <c r="F303" s="19" t="n"/>
      <c r="G303" s="19" t="n"/>
      <c r="H303" s="20">
        <f>IF(COUNT(F303:G303)=0,"",SUM(F303:G303))</f>
        <v/>
      </c>
    </row>
    <row r="304">
      <c r="A304" s="18" t="n"/>
      <c r="F304" s="19" t="n"/>
      <c r="G304" s="19" t="n"/>
      <c r="H304" s="20">
        <f>IF(COUNT(F304:G304)=0,"",SUM(F304:G304))</f>
        <v/>
      </c>
    </row>
    <row r="305">
      <c r="A305" s="18" t="n"/>
      <c r="F305" s="19" t="n"/>
      <c r="G305" s="19" t="n"/>
      <c r="H305" s="20">
        <f>IF(COUNT(F305:G305)=0,"",SUM(F305:G305))</f>
        <v/>
      </c>
    </row>
    <row r="306">
      <c r="A306" s="18" t="n"/>
      <c r="F306" s="19" t="n"/>
      <c r="G306" s="19" t="n"/>
      <c r="H306" s="20">
        <f>IF(COUNT(F306:G306)=0,"",SUM(F306:G306))</f>
        <v/>
      </c>
    </row>
    <row r="307">
      <c r="A307" s="18" t="n"/>
      <c r="F307" s="19" t="n"/>
      <c r="G307" s="19" t="n"/>
      <c r="H307" s="20">
        <f>IF(COUNT(F307:G307)=0,"",SUM(F307:G307))</f>
        <v/>
      </c>
    </row>
    <row r="308">
      <c r="A308" s="18" t="n"/>
      <c r="F308" s="19" t="n"/>
      <c r="G308" s="19" t="n"/>
      <c r="H308" s="20">
        <f>IF(COUNT(F308:G308)=0,"",SUM(F308:G308))</f>
        <v/>
      </c>
    </row>
    <row r="309">
      <c r="A309" s="18" t="n"/>
      <c r="F309" s="19" t="n"/>
      <c r="G309" s="19" t="n"/>
      <c r="H309" s="20">
        <f>IF(COUNT(F309:G309)=0,"",SUM(F309:G309))</f>
        <v/>
      </c>
    </row>
    <row r="310">
      <c r="A310" s="18" t="n"/>
      <c r="F310" s="19" t="n"/>
      <c r="G310" s="19" t="n"/>
      <c r="H310" s="20">
        <f>IF(COUNT(F310:G310)=0,"",SUM(F310:G310))</f>
        <v/>
      </c>
    </row>
    <row r="311">
      <c r="A311" s="18" t="n"/>
      <c r="F311" s="19" t="n"/>
      <c r="G311" s="19" t="n"/>
      <c r="H311" s="20">
        <f>IF(COUNT(F311:G311)=0,"",SUM(F311:G311))</f>
        <v/>
      </c>
    </row>
    <row r="312">
      <c r="A312" s="18" t="n"/>
      <c r="F312" s="19" t="n"/>
      <c r="G312" s="19" t="n"/>
      <c r="H312" s="20">
        <f>IF(COUNT(F312:G312)=0,"",SUM(F312:G312))</f>
        <v/>
      </c>
    </row>
    <row r="313">
      <c r="A313" s="18" t="n"/>
      <c r="F313" s="19" t="n"/>
      <c r="G313" s="19" t="n"/>
      <c r="H313" s="20">
        <f>IF(COUNT(F313:G313)=0,"",SUM(F313:G313))</f>
        <v/>
      </c>
    </row>
    <row r="314">
      <c r="A314" s="18" t="n"/>
      <c r="F314" s="19" t="n"/>
      <c r="G314" s="19" t="n"/>
      <c r="H314" s="20">
        <f>IF(COUNT(F314:G314)=0,"",SUM(F314:G314))</f>
        <v/>
      </c>
    </row>
    <row r="315">
      <c r="A315" s="18" t="n"/>
      <c r="F315" s="19" t="n"/>
      <c r="G315" s="19" t="n"/>
      <c r="H315" s="20">
        <f>IF(COUNT(F315:G315)=0,"",SUM(F315:G315))</f>
        <v/>
      </c>
    </row>
    <row r="316">
      <c r="A316" s="18" t="n"/>
      <c r="F316" s="19" t="n"/>
      <c r="G316" s="19" t="n"/>
      <c r="H316" s="20">
        <f>IF(COUNT(F316:G316)=0,"",SUM(F316:G316))</f>
        <v/>
      </c>
    </row>
    <row r="317">
      <c r="A317" s="18" t="n"/>
      <c r="F317" s="19" t="n"/>
      <c r="G317" s="19" t="n"/>
      <c r="H317" s="20">
        <f>IF(COUNT(F317:G317)=0,"",SUM(F317:G317))</f>
        <v/>
      </c>
    </row>
    <row r="318">
      <c r="A318" s="18" t="n"/>
      <c r="F318" s="19" t="n"/>
      <c r="G318" s="19" t="n"/>
      <c r="H318" s="20">
        <f>IF(COUNT(F318:G318)=0,"",SUM(F318:G318))</f>
        <v/>
      </c>
    </row>
    <row r="319">
      <c r="A319" s="18" t="n"/>
      <c r="F319" s="19" t="n"/>
      <c r="G319" s="19" t="n"/>
      <c r="H319" s="20">
        <f>IF(COUNT(F319:G319)=0,"",SUM(F319:G319))</f>
        <v/>
      </c>
    </row>
    <row r="320">
      <c r="A320" s="18" t="n"/>
      <c r="F320" s="19" t="n"/>
      <c r="G320" s="19" t="n"/>
      <c r="H320" s="20">
        <f>IF(COUNT(F320:G320)=0,"",SUM(F320:G320))</f>
        <v/>
      </c>
    </row>
    <row r="321">
      <c r="A321" s="18" t="n"/>
      <c r="F321" s="19" t="n"/>
      <c r="G321" s="19" t="n"/>
      <c r="H321" s="20">
        <f>IF(COUNT(F321:G321)=0,"",SUM(F321:G321))</f>
        <v/>
      </c>
    </row>
    <row r="322">
      <c r="A322" s="18" t="n"/>
      <c r="F322" s="19" t="n"/>
      <c r="G322" s="19" t="n"/>
      <c r="H322" s="20">
        <f>IF(COUNT(F322:G322)=0,"",SUM(F322:G322))</f>
        <v/>
      </c>
    </row>
    <row r="323">
      <c r="A323" s="18" t="n"/>
      <c r="F323" s="19" t="n"/>
      <c r="G323" s="19" t="n"/>
      <c r="H323" s="20">
        <f>IF(COUNT(F323:G323)=0,"",SUM(F323:G323))</f>
        <v/>
      </c>
    </row>
    <row r="324">
      <c r="A324" s="18" t="n"/>
      <c r="F324" s="19" t="n"/>
      <c r="G324" s="19" t="n"/>
      <c r="H324" s="20">
        <f>IF(COUNT(F324:G324)=0,"",SUM(F324:G324))</f>
        <v/>
      </c>
    </row>
    <row r="325">
      <c r="A325" s="18" t="n"/>
      <c r="F325" s="19" t="n"/>
      <c r="G325" s="19" t="n"/>
      <c r="H325" s="20">
        <f>IF(COUNT(F325:G325)=0,"",SUM(F325:G325))</f>
        <v/>
      </c>
    </row>
    <row r="326">
      <c r="A326" s="18" t="n"/>
      <c r="F326" s="19" t="n"/>
      <c r="G326" s="19" t="n"/>
      <c r="H326" s="20">
        <f>IF(COUNT(F326:G326)=0,"",SUM(F326:G326))</f>
        <v/>
      </c>
    </row>
    <row r="327">
      <c r="A327" s="18" t="n"/>
      <c r="F327" s="19" t="n"/>
      <c r="G327" s="19" t="n"/>
      <c r="H327" s="20">
        <f>IF(COUNT(F327:G327)=0,"",SUM(F327:G327))</f>
        <v/>
      </c>
    </row>
    <row r="328">
      <c r="A328" s="18" t="n"/>
      <c r="F328" s="19" t="n"/>
      <c r="G328" s="19" t="n"/>
      <c r="H328" s="20">
        <f>IF(COUNT(F328:G328)=0,"",SUM(F328:G328))</f>
        <v/>
      </c>
    </row>
    <row r="329">
      <c r="A329" s="18" t="n"/>
      <c r="F329" s="19" t="n"/>
      <c r="G329" s="19" t="n"/>
      <c r="H329" s="20">
        <f>IF(COUNT(F329:G329)=0,"",SUM(F329:G329))</f>
        <v/>
      </c>
    </row>
    <row r="330">
      <c r="A330" s="18" t="n"/>
      <c r="F330" s="19" t="n"/>
      <c r="G330" s="19" t="n"/>
      <c r="H330" s="20">
        <f>IF(COUNT(F330:G330)=0,"",SUM(F330:G330))</f>
        <v/>
      </c>
    </row>
    <row r="331">
      <c r="A331" s="18" t="n"/>
      <c r="F331" s="19" t="n"/>
      <c r="G331" s="19" t="n"/>
      <c r="H331" s="20">
        <f>IF(COUNT(F331:G331)=0,"",SUM(F331:G331))</f>
        <v/>
      </c>
    </row>
    <row r="332">
      <c r="A332" s="18" t="n"/>
      <c r="F332" s="19" t="n"/>
      <c r="G332" s="19" t="n"/>
      <c r="H332" s="20">
        <f>IF(COUNT(F332:G332)=0,"",SUM(F332:G332))</f>
        <v/>
      </c>
    </row>
    <row r="333">
      <c r="A333" s="18" t="n"/>
      <c r="F333" s="19" t="n"/>
      <c r="G333" s="19" t="n"/>
      <c r="H333" s="20">
        <f>IF(COUNT(F333:G333)=0,"",SUM(F333:G333))</f>
        <v/>
      </c>
    </row>
    <row r="334">
      <c r="A334" s="18" t="n"/>
      <c r="F334" s="19" t="n"/>
      <c r="G334" s="19" t="n"/>
      <c r="H334" s="20">
        <f>IF(COUNT(F334:G334)=0,"",SUM(F334:G334))</f>
        <v/>
      </c>
    </row>
    <row r="335">
      <c r="A335" s="18" t="n"/>
      <c r="F335" s="19" t="n"/>
      <c r="G335" s="19" t="n"/>
      <c r="H335" s="20">
        <f>IF(COUNT(F335:G335)=0,"",SUM(F335:G335))</f>
        <v/>
      </c>
    </row>
    <row r="336">
      <c r="A336" s="18" t="n"/>
      <c r="F336" s="19" t="n"/>
      <c r="G336" s="19" t="n"/>
      <c r="H336" s="20">
        <f>IF(COUNT(F336:G336)=0,"",SUM(F336:G336))</f>
        <v/>
      </c>
    </row>
    <row r="337">
      <c r="A337" s="18" t="n"/>
      <c r="F337" s="19" t="n"/>
      <c r="G337" s="19" t="n"/>
      <c r="H337" s="20">
        <f>IF(COUNT(F337:G337)=0,"",SUM(F337:G337))</f>
        <v/>
      </c>
    </row>
    <row r="338">
      <c r="A338" s="18" t="n"/>
      <c r="F338" s="19" t="n"/>
      <c r="G338" s="19" t="n"/>
      <c r="H338" s="20">
        <f>IF(COUNT(F338:G338)=0,"",SUM(F338:G338))</f>
        <v/>
      </c>
    </row>
    <row r="339">
      <c r="A339" s="18" t="n"/>
      <c r="F339" s="19" t="n"/>
      <c r="G339" s="19" t="n"/>
      <c r="H339" s="20">
        <f>IF(COUNT(F339:G339)=0,"",SUM(F339:G339))</f>
        <v/>
      </c>
    </row>
    <row r="340">
      <c r="A340" s="18" t="n"/>
      <c r="F340" s="19" t="n"/>
      <c r="G340" s="19" t="n"/>
      <c r="H340" s="20">
        <f>IF(COUNT(F340:G340)=0,"",SUM(F340:G340))</f>
        <v/>
      </c>
    </row>
    <row r="341">
      <c r="A341" s="18" t="n"/>
      <c r="F341" s="19" t="n"/>
      <c r="G341" s="19" t="n"/>
      <c r="H341" s="20">
        <f>IF(COUNT(F341:G341)=0,"",SUM(F341:G341))</f>
        <v/>
      </c>
    </row>
    <row r="342">
      <c r="A342" s="18" t="n"/>
      <c r="F342" s="19" t="n"/>
      <c r="G342" s="19" t="n"/>
      <c r="H342" s="20">
        <f>IF(COUNT(F342:G342)=0,"",SUM(F342:G342))</f>
        <v/>
      </c>
    </row>
    <row r="343">
      <c r="A343" s="18" t="n"/>
      <c r="F343" s="19" t="n"/>
      <c r="G343" s="19" t="n"/>
      <c r="H343" s="20">
        <f>IF(COUNT(F343:G343)=0,"",SUM(F343:G343))</f>
        <v/>
      </c>
    </row>
    <row r="344">
      <c r="A344" s="18" t="n"/>
      <c r="F344" s="19" t="n"/>
      <c r="G344" s="19" t="n"/>
      <c r="H344" s="20">
        <f>IF(COUNT(F344:G344)=0,"",SUM(F344:G344))</f>
        <v/>
      </c>
    </row>
    <row r="345">
      <c r="A345" s="18" t="n"/>
      <c r="F345" s="19" t="n"/>
      <c r="G345" s="19" t="n"/>
      <c r="H345" s="20">
        <f>IF(COUNT(F345:G345)=0,"",SUM(F345:G345))</f>
        <v/>
      </c>
    </row>
    <row r="346">
      <c r="A346" s="18" t="n"/>
      <c r="F346" s="19" t="n"/>
      <c r="G346" s="19" t="n"/>
      <c r="H346" s="20">
        <f>IF(COUNT(F346:G346)=0,"",SUM(F346:G346))</f>
        <v/>
      </c>
    </row>
    <row r="347">
      <c r="A347" s="18" t="n"/>
      <c r="F347" s="19" t="n"/>
      <c r="G347" s="19" t="n"/>
      <c r="H347" s="20">
        <f>IF(COUNT(F347:G347)=0,"",SUM(F347:G347))</f>
        <v/>
      </c>
    </row>
    <row r="348">
      <c r="A348" s="18" t="n"/>
      <c r="F348" s="19" t="n"/>
      <c r="G348" s="19" t="n"/>
      <c r="H348" s="20">
        <f>IF(COUNT(F348:G348)=0,"",SUM(F348:G348))</f>
        <v/>
      </c>
    </row>
    <row r="349">
      <c r="A349" s="18" t="n"/>
      <c r="F349" s="19" t="n"/>
      <c r="G349" s="19" t="n"/>
      <c r="H349" s="20">
        <f>IF(COUNT(F349:G349)=0,"",SUM(F349:G349))</f>
        <v/>
      </c>
    </row>
    <row r="350">
      <c r="A350" s="18" t="n"/>
      <c r="F350" s="19" t="n"/>
      <c r="G350" s="19" t="n"/>
      <c r="H350" s="20">
        <f>IF(COUNT(F350:G350)=0,"",SUM(F350:G350))</f>
        <v/>
      </c>
    </row>
    <row r="351">
      <c r="A351" s="18" t="n"/>
      <c r="F351" s="19" t="n"/>
      <c r="G351" s="19" t="n"/>
      <c r="H351" s="20">
        <f>IF(COUNT(F351:G351)=0,"",SUM(F351:G351))</f>
        <v/>
      </c>
    </row>
    <row r="352">
      <c r="A352" s="18" t="n"/>
      <c r="F352" s="19" t="n"/>
      <c r="G352" s="19" t="n"/>
      <c r="H352" s="20">
        <f>IF(COUNT(F352:G352)=0,"",SUM(F352:G352))</f>
        <v/>
      </c>
    </row>
    <row r="353">
      <c r="A353" s="18" t="n"/>
      <c r="F353" s="19" t="n"/>
      <c r="G353" s="19" t="n"/>
      <c r="H353" s="20">
        <f>IF(COUNT(F353:G353)=0,"",SUM(F353:G353))</f>
        <v/>
      </c>
    </row>
    <row r="354">
      <c r="A354" s="18" t="n"/>
      <c r="F354" s="19" t="n"/>
      <c r="G354" s="19" t="n"/>
      <c r="H354" s="20">
        <f>IF(COUNT(F354:G354)=0,"",SUM(F354:G354))</f>
        <v/>
      </c>
    </row>
    <row r="355">
      <c r="A355" s="18" t="n"/>
      <c r="F355" s="19" t="n"/>
      <c r="G355" s="19" t="n"/>
      <c r="H355" s="20">
        <f>IF(COUNT(F355:G355)=0,"",SUM(F355:G355))</f>
        <v/>
      </c>
    </row>
    <row r="356">
      <c r="A356" s="18" t="n"/>
      <c r="F356" s="19" t="n"/>
      <c r="G356" s="19" t="n"/>
      <c r="H356" s="20">
        <f>IF(COUNT(F356:G356)=0,"",SUM(F356:G356))</f>
        <v/>
      </c>
    </row>
    <row r="357">
      <c r="A357" s="18" t="n"/>
      <c r="F357" s="19" t="n"/>
      <c r="G357" s="19" t="n"/>
      <c r="H357" s="20">
        <f>IF(COUNT(F357:G357)=0,"",SUM(F357:G357))</f>
        <v/>
      </c>
    </row>
    <row r="358">
      <c r="A358" s="18" t="n"/>
      <c r="F358" s="19" t="n"/>
      <c r="G358" s="19" t="n"/>
      <c r="H358" s="20">
        <f>IF(COUNT(F358:G358)=0,"",SUM(F358:G358))</f>
        <v/>
      </c>
    </row>
    <row r="359">
      <c r="A359" s="18" t="n"/>
      <c r="F359" s="19" t="n"/>
      <c r="G359" s="19" t="n"/>
      <c r="H359" s="20">
        <f>IF(COUNT(F359:G359)=0,"",SUM(F359:G359))</f>
        <v/>
      </c>
    </row>
    <row r="360">
      <c r="A360" s="18" t="n"/>
      <c r="F360" s="19" t="n"/>
      <c r="G360" s="19" t="n"/>
      <c r="H360" s="20">
        <f>IF(COUNT(F360:G360)=0,"",SUM(F360:G360))</f>
        <v/>
      </c>
    </row>
    <row r="361">
      <c r="A361" s="18" t="n"/>
      <c r="F361" s="19" t="n"/>
      <c r="G361" s="19" t="n"/>
      <c r="H361" s="20">
        <f>IF(COUNT(F361:G361)=0,"",SUM(F361:G361))</f>
        <v/>
      </c>
    </row>
    <row r="362">
      <c r="A362" s="18" t="n"/>
      <c r="F362" s="19" t="n"/>
      <c r="G362" s="19" t="n"/>
      <c r="H362" s="20">
        <f>IF(COUNT(F362:G362)=0,"",SUM(F362:G362))</f>
        <v/>
      </c>
    </row>
    <row r="363">
      <c r="A363" s="18" t="n"/>
      <c r="F363" s="19" t="n"/>
      <c r="G363" s="19" t="n"/>
      <c r="H363" s="20">
        <f>IF(COUNT(F363:G363)=0,"",SUM(F363:G363))</f>
        <v/>
      </c>
    </row>
    <row r="364">
      <c r="A364" s="18" t="n"/>
      <c r="F364" s="19" t="n"/>
      <c r="G364" s="19" t="n"/>
      <c r="H364" s="20">
        <f>IF(COUNT(F364:G364)=0,"",SUM(F364:G364))</f>
        <v/>
      </c>
    </row>
    <row r="365">
      <c r="A365" s="18" t="n"/>
      <c r="F365" s="19" t="n"/>
      <c r="G365" s="19" t="n"/>
      <c r="H365" s="20">
        <f>IF(COUNT(F365:G365)=0,"",SUM(F365:G365))</f>
        <v/>
      </c>
    </row>
    <row r="366">
      <c r="A366" s="18" t="n"/>
      <c r="F366" s="19" t="n"/>
      <c r="G366" s="19" t="n"/>
      <c r="H366" s="20">
        <f>IF(COUNT(F366:G366)=0,"",SUM(F366:G366))</f>
        <v/>
      </c>
    </row>
    <row r="367">
      <c r="A367" s="18" t="n"/>
      <c r="F367" s="19" t="n"/>
      <c r="G367" s="19" t="n"/>
      <c r="H367" s="20">
        <f>IF(COUNT(F367:G367)=0,"",SUM(F367:G367))</f>
        <v/>
      </c>
    </row>
    <row r="368">
      <c r="A368" s="18" t="n"/>
      <c r="F368" s="19" t="n"/>
      <c r="G368" s="19" t="n"/>
      <c r="H368" s="20">
        <f>IF(COUNT(F368:G368)=0,"",SUM(F368:G368))</f>
        <v/>
      </c>
    </row>
    <row r="369">
      <c r="A369" s="18" t="n"/>
      <c r="F369" s="19" t="n"/>
      <c r="G369" s="19" t="n"/>
      <c r="H369" s="20">
        <f>IF(COUNT(F369:G369)=0,"",SUM(F369:G369))</f>
        <v/>
      </c>
    </row>
    <row r="370">
      <c r="A370" s="18" t="n"/>
      <c r="F370" s="19" t="n"/>
      <c r="G370" s="19" t="n"/>
      <c r="H370" s="20">
        <f>IF(COUNT(F370:G370)=0,"",SUM(F370:G370))</f>
        <v/>
      </c>
    </row>
    <row r="371">
      <c r="A371" s="18" t="n"/>
      <c r="F371" s="19" t="n"/>
      <c r="G371" s="19" t="n"/>
      <c r="H371" s="20">
        <f>IF(COUNT(F371:G371)=0,"",SUM(F371:G371))</f>
        <v/>
      </c>
    </row>
    <row r="372">
      <c r="A372" s="18" t="n"/>
      <c r="F372" s="19" t="n"/>
      <c r="G372" s="19" t="n"/>
      <c r="H372" s="20">
        <f>IF(COUNT(F372:G372)=0,"",SUM(F372:G372))</f>
        <v/>
      </c>
    </row>
    <row r="373">
      <c r="A373" s="18" t="n"/>
      <c r="F373" s="19" t="n"/>
      <c r="G373" s="19" t="n"/>
      <c r="H373" s="20">
        <f>IF(COUNT(F373:G373)=0,"",SUM(F373:G373))</f>
        <v/>
      </c>
    </row>
    <row r="374">
      <c r="A374" s="18" t="n"/>
      <c r="F374" s="19" t="n"/>
      <c r="G374" s="19" t="n"/>
      <c r="H374" s="20">
        <f>IF(COUNT(F374:G374)=0,"",SUM(F374:G374))</f>
        <v/>
      </c>
    </row>
    <row r="375">
      <c r="A375" s="18" t="n"/>
      <c r="F375" s="19" t="n"/>
      <c r="G375" s="19" t="n"/>
      <c r="H375" s="20">
        <f>IF(COUNT(F375:G375)=0,"",SUM(F375:G375))</f>
        <v/>
      </c>
    </row>
    <row r="376">
      <c r="A376" s="18" t="n"/>
      <c r="F376" s="19" t="n"/>
      <c r="G376" s="19" t="n"/>
      <c r="H376" s="20">
        <f>IF(COUNT(F376:G376)=0,"",SUM(F376:G376))</f>
        <v/>
      </c>
    </row>
    <row r="377">
      <c r="A377" s="18" t="n"/>
      <c r="F377" s="19" t="n"/>
      <c r="G377" s="19" t="n"/>
      <c r="H377" s="20">
        <f>IF(COUNT(F377:G377)=0,"",SUM(F377:G377))</f>
        <v/>
      </c>
    </row>
    <row r="378">
      <c r="A378" s="18" t="n"/>
      <c r="F378" s="19" t="n"/>
      <c r="G378" s="19" t="n"/>
      <c r="H378" s="20">
        <f>IF(COUNT(F378:G378)=0,"",SUM(F378:G378))</f>
        <v/>
      </c>
    </row>
    <row r="379">
      <c r="A379" s="18" t="n"/>
      <c r="F379" s="19" t="n"/>
      <c r="G379" s="19" t="n"/>
      <c r="H379" s="20">
        <f>IF(COUNT(F379:G379)=0,"",SUM(F379:G379))</f>
        <v/>
      </c>
    </row>
    <row r="380">
      <c r="A380" s="18" t="n"/>
      <c r="F380" s="19" t="n"/>
      <c r="G380" s="19" t="n"/>
      <c r="H380" s="20">
        <f>IF(COUNT(F380:G380)=0,"",SUM(F380:G380))</f>
        <v/>
      </c>
    </row>
    <row r="381">
      <c r="A381" s="18" t="n"/>
      <c r="F381" s="19" t="n"/>
      <c r="G381" s="19" t="n"/>
      <c r="H381" s="20">
        <f>IF(COUNT(F381:G381)=0,"",SUM(F381:G381))</f>
        <v/>
      </c>
    </row>
    <row r="382">
      <c r="A382" s="18" t="n"/>
      <c r="F382" s="19" t="n"/>
      <c r="G382" s="19" t="n"/>
      <c r="H382" s="20">
        <f>IF(COUNT(F382:G382)=0,"",SUM(F382:G382))</f>
        <v/>
      </c>
    </row>
    <row r="383">
      <c r="A383" s="18" t="n"/>
      <c r="F383" s="19" t="n"/>
      <c r="G383" s="19" t="n"/>
      <c r="H383" s="20">
        <f>IF(COUNT(F383:G383)=0,"",SUM(F383:G383))</f>
        <v/>
      </c>
    </row>
    <row r="384">
      <c r="A384" s="18" t="n"/>
      <c r="F384" s="19" t="n"/>
      <c r="G384" s="19" t="n"/>
      <c r="H384" s="20">
        <f>IF(COUNT(F384:G384)=0,"",SUM(F384:G384))</f>
        <v/>
      </c>
    </row>
    <row r="385">
      <c r="A385" s="18" t="n"/>
      <c r="F385" s="19" t="n"/>
      <c r="G385" s="19" t="n"/>
      <c r="H385" s="20">
        <f>IF(COUNT(F385:G385)=0,"",SUM(F385:G385))</f>
        <v/>
      </c>
    </row>
    <row r="386">
      <c r="A386" s="18" t="n"/>
      <c r="F386" s="19" t="n"/>
      <c r="G386" s="19" t="n"/>
      <c r="H386" s="20">
        <f>IF(COUNT(F386:G386)=0,"",SUM(F386:G386))</f>
        <v/>
      </c>
    </row>
    <row r="387">
      <c r="A387" s="18" t="n"/>
      <c r="F387" s="19" t="n"/>
      <c r="G387" s="19" t="n"/>
      <c r="H387" s="20">
        <f>IF(COUNT(F387:G387)=0,"",SUM(F387:G387))</f>
        <v/>
      </c>
    </row>
    <row r="388">
      <c r="A388" s="18" t="n"/>
      <c r="F388" s="19" t="n"/>
      <c r="G388" s="19" t="n"/>
      <c r="H388" s="20">
        <f>IF(COUNT(F388:G388)=0,"",SUM(F388:G388))</f>
        <v/>
      </c>
    </row>
    <row r="389">
      <c r="A389" s="18" t="n"/>
      <c r="F389" s="19" t="n"/>
      <c r="G389" s="19" t="n"/>
      <c r="H389" s="20">
        <f>IF(COUNT(F389:G389)=0,"",SUM(F389:G389))</f>
        <v/>
      </c>
    </row>
    <row r="390">
      <c r="A390" s="18" t="n"/>
      <c r="F390" s="19" t="n"/>
      <c r="G390" s="19" t="n"/>
      <c r="H390" s="20">
        <f>IF(COUNT(F390:G390)=0,"",SUM(F390:G390))</f>
        <v/>
      </c>
    </row>
    <row r="391">
      <c r="A391" s="18" t="n"/>
      <c r="F391" s="19" t="n"/>
      <c r="G391" s="19" t="n"/>
      <c r="H391" s="20">
        <f>IF(COUNT(F391:G391)=0,"",SUM(F391:G391))</f>
        <v/>
      </c>
    </row>
    <row r="392">
      <c r="A392" s="18" t="n"/>
      <c r="F392" s="19" t="n"/>
      <c r="G392" s="19" t="n"/>
      <c r="H392" s="20">
        <f>IF(COUNT(F392:G392)=0,"",SUM(F392:G392))</f>
        <v/>
      </c>
    </row>
    <row r="393">
      <c r="A393" s="18" t="n"/>
      <c r="F393" s="19" t="n"/>
      <c r="G393" s="19" t="n"/>
      <c r="H393" s="20">
        <f>IF(COUNT(F393:G393)=0,"",SUM(F393:G393))</f>
        <v/>
      </c>
    </row>
    <row r="394">
      <c r="A394" s="18" t="n"/>
      <c r="F394" s="19" t="n"/>
      <c r="G394" s="19" t="n"/>
      <c r="H394" s="20">
        <f>IF(COUNT(F394:G394)=0,"",SUM(F394:G394))</f>
        <v/>
      </c>
    </row>
    <row r="395">
      <c r="A395" s="18" t="n"/>
      <c r="F395" s="19" t="n"/>
      <c r="G395" s="19" t="n"/>
      <c r="H395" s="20">
        <f>IF(COUNT(F395:G395)=0,"",SUM(F395:G395))</f>
        <v/>
      </c>
    </row>
    <row r="396">
      <c r="A396" s="18" t="n"/>
      <c r="F396" s="19" t="n"/>
      <c r="G396" s="19" t="n"/>
      <c r="H396" s="20">
        <f>IF(COUNT(F396:G396)=0,"",SUM(F396:G396))</f>
        <v/>
      </c>
    </row>
    <row r="397">
      <c r="A397" s="18" t="n"/>
      <c r="F397" s="19" t="n"/>
      <c r="G397" s="19" t="n"/>
      <c r="H397" s="20">
        <f>IF(COUNT(F397:G397)=0,"",SUM(F397:G397))</f>
        <v/>
      </c>
    </row>
    <row r="398">
      <c r="A398" s="18" t="n"/>
      <c r="F398" s="19" t="n"/>
      <c r="G398" s="19" t="n"/>
      <c r="H398" s="20">
        <f>IF(COUNT(F398:G398)=0,"",SUM(F398:G398))</f>
        <v/>
      </c>
    </row>
    <row r="399">
      <c r="A399" s="18" t="n"/>
      <c r="F399" s="19" t="n"/>
      <c r="G399" s="19" t="n"/>
      <c r="H399" s="20">
        <f>IF(COUNT(F399:G399)=0,"",SUM(F399:G399))</f>
        <v/>
      </c>
    </row>
    <row r="400">
      <c r="A400" s="18" t="n"/>
      <c r="F400" s="19" t="n"/>
      <c r="G400" s="19" t="n"/>
      <c r="H400" s="20">
        <f>IF(COUNT(F400:G400)=0,"",SUM(F400:G400))</f>
        <v/>
      </c>
    </row>
    <row r="401">
      <c r="A401" s="18" t="n"/>
      <c r="F401" s="19" t="n"/>
      <c r="G401" s="19" t="n"/>
      <c r="H401" s="20">
        <f>IF(COUNT(F401:G401)=0,"",SUM(F401:G401))</f>
        <v/>
      </c>
    </row>
    <row r="402">
      <c r="A402" s="18" t="n"/>
      <c r="F402" s="19" t="n"/>
      <c r="G402" s="19" t="n"/>
      <c r="H402" s="20">
        <f>IF(COUNT(F402:G402)=0,"",SUM(F402:G402))</f>
        <v/>
      </c>
    </row>
    <row r="403">
      <c r="A403" s="18" t="n"/>
      <c r="F403" s="19" t="n"/>
      <c r="G403" s="19" t="n"/>
      <c r="H403" s="20">
        <f>IF(COUNT(F403:G403)=0,"",SUM(F403:G403))</f>
        <v/>
      </c>
    </row>
    <row r="404">
      <c r="A404" s="18" t="n"/>
      <c r="F404" s="19" t="n"/>
      <c r="G404" s="19" t="n"/>
      <c r="H404" s="20">
        <f>IF(COUNT(F404:G404)=0,"",SUM(F404:G404))</f>
        <v/>
      </c>
    </row>
    <row r="405">
      <c r="A405" s="18" t="n"/>
      <c r="F405" s="19" t="n"/>
      <c r="G405" s="19" t="n"/>
      <c r="H405" s="20">
        <f>IF(COUNT(F405:G405)=0,"",SUM(F405:G405))</f>
        <v/>
      </c>
    </row>
    <row r="406">
      <c r="A406" s="18" t="n"/>
      <c r="F406" s="19" t="n"/>
      <c r="G406" s="19" t="n"/>
      <c r="H406" s="20">
        <f>IF(COUNT(F406:G406)=0,"",SUM(F406:G406))</f>
        <v/>
      </c>
    </row>
    <row r="407">
      <c r="A407" s="18" t="n"/>
      <c r="F407" s="19" t="n"/>
      <c r="G407" s="19" t="n"/>
      <c r="H407" s="20">
        <f>IF(COUNT(F407:G407)=0,"",SUM(F407:G407))</f>
        <v/>
      </c>
    </row>
    <row r="408">
      <c r="A408" s="18" t="n"/>
      <c r="F408" s="19" t="n"/>
      <c r="G408" s="19" t="n"/>
      <c r="H408" s="20">
        <f>IF(COUNT(F408:G408)=0,"",SUM(F408:G408))</f>
        <v/>
      </c>
    </row>
    <row r="409">
      <c r="A409" s="18" t="n"/>
      <c r="F409" s="19" t="n"/>
      <c r="G409" s="19" t="n"/>
      <c r="H409" s="20">
        <f>IF(COUNT(F409:G409)=0,"",SUM(F409:G409))</f>
        <v/>
      </c>
    </row>
    <row r="410">
      <c r="A410" s="18" t="n"/>
      <c r="F410" s="19" t="n"/>
      <c r="G410" s="19" t="n"/>
      <c r="H410" s="20">
        <f>IF(COUNT(F410:G410)=0,"",SUM(F410:G410))</f>
        <v/>
      </c>
    </row>
    <row r="411">
      <c r="A411" s="18" t="n"/>
      <c r="F411" s="19" t="n"/>
      <c r="G411" s="19" t="n"/>
      <c r="H411" s="20">
        <f>IF(COUNT(F411:G411)=0,"",SUM(F411:G411))</f>
        <v/>
      </c>
    </row>
    <row r="412">
      <c r="A412" s="18" t="n"/>
      <c r="F412" s="19" t="n"/>
      <c r="G412" s="19" t="n"/>
      <c r="H412" s="20">
        <f>IF(COUNT(F412:G412)=0,"",SUM(F412:G412))</f>
        <v/>
      </c>
    </row>
    <row r="413">
      <c r="A413" s="18" t="n"/>
      <c r="F413" s="19" t="n"/>
      <c r="G413" s="19" t="n"/>
      <c r="H413" s="20">
        <f>IF(COUNT(F413:G413)=0,"",SUM(F413:G413))</f>
        <v/>
      </c>
    </row>
    <row r="414">
      <c r="A414" s="18" t="n"/>
      <c r="F414" s="19" t="n"/>
      <c r="G414" s="19" t="n"/>
      <c r="H414" s="20">
        <f>IF(COUNT(F414:G414)=0,"",SUM(F414:G414))</f>
        <v/>
      </c>
    </row>
    <row r="415">
      <c r="A415" s="18" t="n"/>
      <c r="F415" s="19" t="n"/>
      <c r="G415" s="19" t="n"/>
      <c r="H415" s="20">
        <f>IF(COUNT(F415:G415)=0,"",SUM(F415:G415))</f>
        <v/>
      </c>
    </row>
    <row r="416">
      <c r="A416" s="18" t="n"/>
      <c r="F416" s="19" t="n"/>
      <c r="G416" s="19" t="n"/>
      <c r="H416" s="20">
        <f>IF(COUNT(F416:G416)=0,"",SUM(F416:G416))</f>
        <v/>
      </c>
    </row>
    <row r="417">
      <c r="A417" s="18" t="n"/>
      <c r="F417" s="19" t="n"/>
      <c r="G417" s="19" t="n"/>
      <c r="H417" s="20">
        <f>IF(COUNT(F417:G417)=0,"",SUM(F417:G417))</f>
        <v/>
      </c>
    </row>
    <row r="418">
      <c r="A418" s="18" t="n"/>
      <c r="F418" s="19" t="n"/>
      <c r="G418" s="19" t="n"/>
      <c r="H418" s="20">
        <f>IF(COUNT(F418:G418)=0,"",SUM(F418:G418))</f>
        <v/>
      </c>
    </row>
    <row r="419">
      <c r="A419" s="18" t="n"/>
      <c r="F419" s="19" t="n"/>
      <c r="G419" s="19" t="n"/>
      <c r="H419" s="20">
        <f>IF(COUNT(F419:G419)=0,"",SUM(F419:G419))</f>
        <v/>
      </c>
    </row>
    <row r="420">
      <c r="A420" s="18" t="n"/>
      <c r="F420" s="19" t="n"/>
      <c r="G420" s="19" t="n"/>
      <c r="H420" s="20">
        <f>IF(COUNT(F420:G420)=0,"",SUM(F420:G420))</f>
        <v/>
      </c>
    </row>
    <row r="421">
      <c r="A421" s="18" t="n"/>
      <c r="F421" s="19" t="n"/>
      <c r="G421" s="19" t="n"/>
      <c r="H421" s="20">
        <f>IF(COUNT(F421:G421)=0,"",SUM(F421:G421))</f>
        <v/>
      </c>
    </row>
    <row r="422">
      <c r="A422" s="18" t="n"/>
      <c r="F422" s="19" t="n"/>
      <c r="G422" s="19" t="n"/>
      <c r="H422" s="20">
        <f>IF(COUNT(F422:G422)=0,"",SUM(F422:G422))</f>
        <v/>
      </c>
    </row>
    <row r="423">
      <c r="A423" s="18" t="n"/>
      <c r="F423" s="19" t="n"/>
      <c r="G423" s="19" t="n"/>
      <c r="H423" s="20">
        <f>IF(COUNT(F423:G423)=0,"",SUM(F423:G423))</f>
        <v/>
      </c>
    </row>
    <row r="424">
      <c r="A424" s="18" t="n"/>
      <c r="F424" s="19" t="n"/>
      <c r="G424" s="19" t="n"/>
      <c r="H424" s="20">
        <f>IF(COUNT(F424:G424)=0,"",SUM(F424:G424))</f>
        <v/>
      </c>
    </row>
    <row r="425">
      <c r="A425" s="18" t="n"/>
      <c r="F425" s="19" t="n"/>
      <c r="G425" s="19" t="n"/>
      <c r="H425" s="20">
        <f>IF(COUNT(F425:G425)=0,"",SUM(F425:G425))</f>
        <v/>
      </c>
    </row>
    <row r="426">
      <c r="A426" s="18" t="n"/>
      <c r="F426" s="19" t="n"/>
      <c r="G426" s="19" t="n"/>
      <c r="H426" s="20">
        <f>IF(COUNT(F426:G426)=0,"",SUM(F426:G426))</f>
        <v/>
      </c>
    </row>
    <row r="427">
      <c r="A427" s="18" t="n"/>
      <c r="F427" s="19" t="n"/>
      <c r="G427" s="19" t="n"/>
      <c r="H427" s="20">
        <f>IF(COUNT(F427:G427)=0,"",SUM(F427:G427))</f>
        <v/>
      </c>
    </row>
    <row r="428">
      <c r="A428" s="18" t="n"/>
      <c r="F428" s="19" t="n"/>
      <c r="G428" s="19" t="n"/>
      <c r="H428" s="20">
        <f>IF(COUNT(F428:G428)=0,"",SUM(F428:G428))</f>
        <v/>
      </c>
    </row>
    <row r="429">
      <c r="A429" s="18" t="n"/>
      <c r="F429" s="19" t="n"/>
      <c r="G429" s="19" t="n"/>
      <c r="H429" s="20">
        <f>IF(COUNT(F429:G429)=0,"",SUM(F429:G429))</f>
        <v/>
      </c>
    </row>
    <row r="430">
      <c r="A430" s="18" t="n"/>
      <c r="F430" s="19" t="n"/>
      <c r="G430" s="19" t="n"/>
      <c r="H430" s="20">
        <f>IF(COUNT(F430:G430)=0,"",SUM(F430:G430))</f>
        <v/>
      </c>
    </row>
    <row r="431">
      <c r="A431" s="18" t="n"/>
      <c r="F431" s="19" t="n"/>
      <c r="G431" s="19" t="n"/>
      <c r="H431" s="20">
        <f>IF(COUNT(F431:G431)=0,"",SUM(F431:G431))</f>
        <v/>
      </c>
    </row>
    <row r="432">
      <c r="A432" s="18" t="n"/>
      <c r="F432" s="19" t="n"/>
      <c r="G432" s="19" t="n"/>
      <c r="H432" s="20">
        <f>IF(COUNT(F432:G432)=0,"",SUM(F432:G432))</f>
        <v/>
      </c>
    </row>
    <row r="433">
      <c r="A433" s="18" t="n"/>
      <c r="F433" s="19" t="n"/>
      <c r="G433" s="19" t="n"/>
      <c r="H433" s="20">
        <f>IF(COUNT(F433:G433)=0,"",SUM(F433:G433))</f>
        <v/>
      </c>
    </row>
    <row r="434">
      <c r="A434" s="18" t="n"/>
      <c r="F434" s="19" t="n"/>
      <c r="G434" s="19" t="n"/>
      <c r="H434" s="20">
        <f>IF(COUNT(F434:G434)=0,"",SUM(F434:G434))</f>
        <v/>
      </c>
    </row>
    <row r="435">
      <c r="A435" s="18" t="n"/>
      <c r="F435" s="19" t="n"/>
      <c r="G435" s="19" t="n"/>
      <c r="H435" s="20">
        <f>IF(COUNT(F435:G435)=0,"",SUM(F435:G435))</f>
        <v/>
      </c>
    </row>
    <row r="436">
      <c r="A436" s="18" t="n"/>
      <c r="F436" s="19" t="n"/>
      <c r="G436" s="19" t="n"/>
      <c r="H436" s="20">
        <f>IF(COUNT(F436:G436)=0,"",SUM(F436:G436))</f>
        <v/>
      </c>
    </row>
    <row r="437">
      <c r="A437" s="18" t="n"/>
      <c r="F437" s="19" t="n"/>
      <c r="G437" s="19" t="n"/>
      <c r="H437" s="20">
        <f>IF(COUNT(F437:G437)=0,"",SUM(F437:G437))</f>
        <v/>
      </c>
    </row>
    <row r="438">
      <c r="A438" s="18" t="n"/>
      <c r="F438" s="19" t="n"/>
      <c r="G438" s="19" t="n"/>
      <c r="H438" s="20">
        <f>IF(COUNT(F438:G438)=0,"",SUM(F438:G438))</f>
        <v/>
      </c>
    </row>
    <row r="439">
      <c r="A439" s="18" t="n"/>
      <c r="F439" s="19" t="n"/>
      <c r="G439" s="19" t="n"/>
      <c r="H439" s="20">
        <f>IF(COUNT(F439:G439)=0,"",SUM(F439:G439))</f>
        <v/>
      </c>
    </row>
    <row r="440">
      <c r="A440" s="18" t="n"/>
      <c r="F440" s="19" t="n"/>
      <c r="G440" s="19" t="n"/>
      <c r="H440" s="20">
        <f>IF(COUNT(F440:G440)=0,"",SUM(F440:G440))</f>
        <v/>
      </c>
    </row>
    <row r="441">
      <c r="A441" s="18" t="n"/>
      <c r="F441" s="19" t="n"/>
      <c r="G441" s="19" t="n"/>
      <c r="H441" s="20">
        <f>IF(COUNT(F441:G441)=0,"",SUM(F441:G441))</f>
        <v/>
      </c>
    </row>
    <row r="442">
      <c r="A442" s="18" t="n"/>
      <c r="F442" s="19" t="n"/>
      <c r="G442" s="19" t="n"/>
      <c r="H442" s="20">
        <f>IF(COUNT(F442:G442)=0,"",SUM(F442:G442))</f>
        <v/>
      </c>
    </row>
    <row r="443">
      <c r="A443" s="18" t="n"/>
      <c r="F443" s="19" t="n"/>
      <c r="G443" s="19" t="n"/>
      <c r="H443" s="20">
        <f>IF(COUNT(F443:G443)=0,"",SUM(F443:G443))</f>
        <v/>
      </c>
    </row>
    <row r="444">
      <c r="A444" s="18" t="n"/>
      <c r="F444" s="19" t="n"/>
      <c r="G444" s="19" t="n"/>
      <c r="H444" s="20">
        <f>IF(COUNT(F444:G444)=0,"",SUM(F444:G444))</f>
        <v/>
      </c>
    </row>
    <row r="445">
      <c r="A445" s="18" t="n"/>
      <c r="F445" s="19" t="n"/>
      <c r="G445" s="19" t="n"/>
      <c r="H445" s="20">
        <f>IF(COUNT(F445:G445)=0,"",SUM(F445:G445))</f>
        <v/>
      </c>
    </row>
    <row r="446">
      <c r="A446" s="18" t="n"/>
      <c r="F446" s="19" t="n"/>
      <c r="G446" s="19" t="n"/>
      <c r="H446" s="20">
        <f>IF(COUNT(F446:G446)=0,"",SUM(F446:G446))</f>
        <v/>
      </c>
    </row>
    <row r="447">
      <c r="A447" s="18" t="n"/>
      <c r="F447" s="19" t="n"/>
      <c r="G447" s="19" t="n"/>
      <c r="H447" s="20">
        <f>IF(COUNT(F447:G447)=0,"",SUM(F447:G447))</f>
        <v/>
      </c>
    </row>
    <row r="448">
      <c r="A448" s="18" t="n"/>
      <c r="F448" s="19" t="n"/>
      <c r="G448" s="19" t="n"/>
      <c r="H448" s="20">
        <f>IF(COUNT(F448:G448)=0,"",SUM(F448:G448))</f>
        <v/>
      </c>
    </row>
    <row r="449">
      <c r="A449" s="18" t="n"/>
      <c r="F449" s="19" t="n"/>
      <c r="G449" s="19" t="n"/>
      <c r="H449" s="20">
        <f>IF(COUNT(F449:G449)=0,"",SUM(F449:G449))</f>
        <v/>
      </c>
    </row>
    <row r="450">
      <c r="A450" s="18" t="n"/>
      <c r="F450" s="19" t="n"/>
      <c r="G450" s="19" t="n"/>
      <c r="H450" s="20">
        <f>IF(COUNT(F450:G450)=0,"",SUM(F450:G450))</f>
        <v/>
      </c>
    </row>
    <row r="451">
      <c r="A451" s="18" t="n"/>
      <c r="F451" s="19" t="n"/>
      <c r="G451" s="19" t="n"/>
      <c r="H451" s="20">
        <f>IF(COUNT(F451:G451)=0,"",SUM(F451:G451))</f>
        <v/>
      </c>
    </row>
    <row r="452">
      <c r="A452" s="18" t="n"/>
      <c r="F452" s="19" t="n"/>
      <c r="G452" s="19" t="n"/>
      <c r="H452" s="20">
        <f>IF(COUNT(F452:G452)=0,"",SUM(F452:G452))</f>
        <v/>
      </c>
    </row>
    <row r="453">
      <c r="A453" s="18" t="n"/>
      <c r="F453" s="19" t="n"/>
      <c r="G453" s="19" t="n"/>
      <c r="H453" s="20">
        <f>IF(COUNT(F453:G453)=0,"",SUM(F453:G453))</f>
        <v/>
      </c>
    </row>
    <row r="454">
      <c r="A454" s="18" t="n"/>
      <c r="F454" s="19" t="n"/>
      <c r="G454" s="19" t="n"/>
      <c r="H454" s="20">
        <f>IF(COUNT(F454:G454)=0,"",SUM(F454:G454))</f>
        <v/>
      </c>
    </row>
    <row r="455">
      <c r="A455" s="18" t="n"/>
      <c r="F455" s="19" t="n"/>
      <c r="G455" s="19" t="n"/>
      <c r="H455" s="20">
        <f>IF(COUNT(F455:G455)=0,"",SUM(F455:G455))</f>
        <v/>
      </c>
    </row>
    <row r="456">
      <c r="A456" s="18" t="n"/>
      <c r="F456" s="19" t="n"/>
      <c r="G456" s="19" t="n"/>
      <c r="H456" s="20">
        <f>IF(COUNT(F456:G456)=0,"",SUM(F456:G456))</f>
        <v/>
      </c>
    </row>
    <row r="457">
      <c r="A457" s="18" t="n"/>
      <c r="F457" s="19" t="n"/>
      <c r="G457" s="19" t="n"/>
      <c r="H457" s="20">
        <f>IF(COUNT(F457:G457)=0,"",SUM(F457:G457))</f>
        <v/>
      </c>
    </row>
    <row r="458">
      <c r="A458" s="18" t="n"/>
      <c r="F458" s="19" t="n"/>
      <c r="G458" s="19" t="n"/>
      <c r="H458" s="20">
        <f>IF(COUNT(F458:G458)=0,"",SUM(F458:G458))</f>
        <v/>
      </c>
    </row>
    <row r="459">
      <c r="A459" s="18" t="n"/>
      <c r="F459" s="19" t="n"/>
      <c r="G459" s="19" t="n"/>
      <c r="H459" s="20">
        <f>IF(COUNT(F459:G459)=0,"",SUM(F459:G459))</f>
        <v/>
      </c>
    </row>
    <row r="460">
      <c r="A460" s="18" t="n"/>
      <c r="F460" s="19" t="n"/>
      <c r="G460" s="19" t="n"/>
      <c r="H460" s="20">
        <f>IF(COUNT(F460:G460)=0,"",SUM(F460:G460))</f>
        <v/>
      </c>
    </row>
    <row r="461">
      <c r="A461" s="18" t="n"/>
      <c r="F461" s="19" t="n"/>
      <c r="G461" s="19" t="n"/>
      <c r="H461" s="20">
        <f>IF(COUNT(F461:G461)=0,"",SUM(F461:G461))</f>
        <v/>
      </c>
    </row>
    <row r="462">
      <c r="A462" s="18" t="n"/>
      <c r="F462" s="19" t="n"/>
      <c r="G462" s="19" t="n"/>
      <c r="H462" s="20">
        <f>IF(COUNT(F462:G462)=0,"",SUM(F462:G462))</f>
        <v/>
      </c>
    </row>
    <row r="463">
      <c r="A463" s="18" t="n"/>
      <c r="F463" s="19" t="n"/>
      <c r="G463" s="19" t="n"/>
      <c r="H463" s="20">
        <f>IF(COUNT(F463:G463)=0,"",SUM(F463:G463))</f>
        <v/>
      </c>
    </row>
    <row r="464">
      <c r="A464" s="18" t="n"/>
      <c r="F464" s="19" t="n"/>
      <c r="G464" s="19" t="n"/>
      <c r="H464" s="20">
        <f>IF(COUNT(F464:G464)=0,"",SUM(F464:G464))</f>
        <v/>
      </c>
    </row>
    <row r="465">
      <c r="A465" s="18" t="n"/>
      <c r="F465" s="19" t="n"/>
      <c r="G465" s="19" t="n"/>
      <c r="H465" s="20">
        <f>IF(COUNT(F465:G465)=0,"",SUM(F465:G465))</f>
        <v/>
      </c>
    </row>
    <row r="466">
      <c r="A466" s="18" t="n"/>
      <c r="F466" s="19" t="n"/>
      <c r="G466" s="19" t="n"/>
      <c r="H466" s="20">
        <f>IF(COUNT(F466:G466)=0,"",SUM(F466:G466))</f>
        <v/>
      </c>
    </row>
    <row r="467">
      <c r="A467" s="18" t="n"/>
      <c r="F467" s="19" t="n"/>
      <c r="G467" s="19" t="n"/>
      <c r="H467" s="20">
        <f>IF(COUNT(F467:G467)=0,"",SUM(F467:G467))</f>
        <v/>
      </c>
    </row>
    <row r="468">
      <c r="A468" s="18" t="n"/>
      <c r="F468" s="19" t="n"/>
      <c r="G468" s="19" t="n"/>
      <c r="H468" s="20">
        <f>IF(COUNT(F468:G468)=0,"",SUM(F468:G468))</f>
        <v/>
      </c>
    </row>
    <row r="469">
      <c r="A469" s="18" t="n"/>
      <c r="F469" s="19" t="n"/>
      <c r="G469" s="19" t="n"/>
      <c r="H469" s="20">
        <f>IF(COUNT(F469:G469)=0,"",SUM(F469:G469))</f>
        <v/>
      </c>
    </row>
    <row r="470">
      <c r="A470" s="18" t="n"/>
      <c r="F470" s="19" t="n"/>
      <c r="G470" s="19" t="n"/>
      <c r="H470" s="20">
        <f>IF(COUNT(F470:G470)=0,"",SUM(F470:G470))</f>
        <v/>
      </c>
    </row>
    <row r="471">
      <c r="A471" s="18" t="n"/>
      <c r="F471" s="19" t="n"/>
      <c r="G471" s="19" t="n"/>
      <c r="H471" s="20">
        <f>IF(COUNT(F471:G471)=0,"",SUM(F471:G471))</f>
        <v/>
      </c>
    </row>
    <row r="472">
      <c r="A472" s="18" t="n"/>
      <c r="F472" s="19" t="n"/>
      <c r="G472" s="19" t="n"/>
      <c r="H472" s="20">
        <f>IF(COUNT(F472:G472)=0,"",SUM(F472:G472))</f>
        <v/>
      </c>
    </row>
    <row r="473">
      <c r="A473" s="18" t="n"/>
      <c r="F473" s="19" t="n"/>
      <c r="G473" s="19" t="n"/>
      <c r="H473" s="20">
        <f>IF(COUNT(F473:G473)=0,"",SUM(F473:G473))</f>
        <v/>
      </c>
    </row>
    <row r="474">
      <c r="A474" s="18" t="n"/>
      <c r="F474" s="19" t="n"/>
      <c r="G474" s="19" t="n"/>
      <c r="H474" s="20">
        <f>IF(COUNT(F474:G474)=0,"",SUM(F474:G474))</f>
        <v/>
      </c>
    </row>
    <row r="475">
      <c r="A475" s="18" t="n"/>
      <c r="F475" s="19" t="n"/>
      <c r="G475" s="19" t="n"/>
      <c r="H475" s="20">
        <f>IF(COUNT(F475:G475)=0,"",SUM(F475:G475))</f>
        <v/>
      </c>
    </row>
    <row r="476">
      <c r="A476" s="18" t="n"/>
      <c r="F476" s="19" t="n"/>
      <c r="G476" s="19" t="n"/>
      <c r="H476" s="20">
        <f>IF(COUNT(F476:G476)=0,"",SUM(F476:G476))</f>
        <v/>
      </c>
    </row>
    <row r="477">
      <c r="A477" s="18" t="n"/>
      <c r="F477" s="19" t="n"/>
      <c r="G477" s="19" t="n"/>
      <c r="H477" s="20">
        <f>IF(COUNT(F477:G477)=0,"",SUM(F477:G477))</f>
        <v/>
      </c>
    </row>
    <row r="478">
      <c r="A478" s="18" t="n"/>
      <c r="F478" s="19" t="n"/>
      <c r="G478" s="19" t="n"/>
      <c r="H478" s="20">
        <f>IF(COUNT(F478:G478)=0,"",SUM(F478:G478))</f>
        <v/>
      </c>
    </row>
    <row r="479">
      <c r="A479" s="18" t="n"/>
      <c r="F479" s="19" t="n"/>
      <c r="G479" s="19" t="n"/>
      <c r="H479" s="20">
        <f>IF(COUNT(F479:G479)=0,"",SUM(F479:G479))</f>
        <v/>
      </c>
    </row>
    <row r="480">
      <c r="A480" s="18" t="n"/>
      <c r="F480" s="19" t="n"/>
      <c r="G480" s="19" t="n"/>
      <c r="H480" s="20">
        <f>IF(COUNT(F480:G480)=0,"",SUM(F480:G480))</f>
        <v/>
      </c>
    </row>
    <row r="481">
      <c r="A481" s="18" t="n"/>
      <c r="F481" s="19" t="n"/>
      <c r="G481" s="19" t="n"/>
      <c r="H481" s="20">
        <f>IF(COUNT(F481:G481)=0,"",SUM(F481:G481))</f>
        <v/>
      </c>
    </row>
    <row r="482">
      <c r="A482" s="18" t="n"/>
      <c r="F482" s="19" t="n"/>
      <c r="G482" s="19" t="n"/>
      <c r="H482" s="20">
        <f>IF(COUNT(F482:G482)=0,"",SUM(F482:G482))</f>
        <v/>
      </c>
    </row>
    <row r="483">
      <c r="A483" s="18" t="n"/>
      <c r="F483" s="19" t="n"/>
      <c r="G483" s="19" t="n"/>
      <c r="H483" s="20">
        <f>IF(COUNT(F483:G483)=0,"",SUM(F483:G483))</f>
        <v/>
      </c>
    </row>
    <row r="484">
      <c r="A484" s="18" t="n"/>
      <c r="F484" s="19" t="n"/>
      <c r="G484" s="19" t="n"/>
      <c r="H484" s="20">
        <f>IF(COUNT(F484:G484)=0,"",SUM(F484:G484))</f>
        <v/>
      </c>
    </row>
    <row r="485">
      <c r="A485" s="18" t="n"/>
      <c r="F485" s="19" t="n"/>
      <c r="G485" s="19" t="n"/>
      <c r="H485" s="20">
        <f>IF(COUNT(F485:G485)=0,"",SUM(F485:G485))</f>
        <v/>
      </c>
    </row>
    <row r="486">
      <c r="A486" s="18" t="n"/>
      <c r="F486" s="19" t="n"/>
      <c r="G486" s="19" t="n"/>
      <c r="H486" s="20">
        <f>IF(COUNT(F486:G486)=0,"",SUM(F486:G486))</f>
        <v/>
      </c>
    </row>
    <row r="487">
      <c r="A487" s="18" t="n"/>
      <c r="F487" s="19" t="n"/>
      <c r="G487" s="19" t="n"/>
      <c r="H487" s="20">
        <f>IF(COUNT(F487:G487)=0,"",SUM(F487:G487))</f>
        <v/>
      </c>
    </row>
    <row r="488">
      <c r="A488" s="18" t="n"/>
      <c r="F488" s="19" t="n"/>
      <c r="G488" s="19" t="n"/>
      <c r="H488" s="20">
        <f>IF(COUNT(F488:G488)=0,"",SUM(F488:G488))</f>
        <v/>
      </c>
    </row>
    <row r="489">
      <c r="A489" s="18" t="n"/>
      <c r="F489" s="19" t="n"/>
      <c r="G489" s="19" t="n"/>
      <c r="H489" s="20">
        <f>IF(COUNT(F489:G489)=0,"",SUM(F489:G489))</f>
        <v/>
      </c>
    </row>
    <row r="490">
      <c r="A490" s="18" t="n"/>
      <c r="F490" s="19" t="n"/>
      <c r="G490" s="19" t="n"/>
      <c r="H490" s="20">
        <f>IF(COUNT(F490:G490)=0,"",SUM(F490:G490))</f>
        <v/>
      </c>
    </row>
    <row r="491">
      <c r="A491" s="18" t="n"/>
      <c r="F491" s="19" t="n"/>
      <c r="G491" s="19" t="n"/>
      <c r="H491" s="20">
        <f>IF(COUNT(F491:G491)=0,"",SUM(F491:G491))</f>
        <v/>
      </c>
    </row>
    <row r="492">
      <c r="A492" s="18" t="n"/>
      <c r="F492" s="19" t="n"/>
      <c r="G492" s="19" t="n"/>
      <c r="H492" s="20">
        <f>IF(COUNT(F492:G492)=0,"",SUM(F492:G492))</f>
        <v/>
      </c>
    </row>
    <row r="493">
      <c r="A493" s="18" t="n"/>
      <c r="F493" s="19" t="n"/>
      <c r="G493" s="19" t="n"/>
      <c r="H493" s="20">
        <f>IF(COUNT(F493:G493)=0,"",SUM(F493:G493))</f>
        <v/>
      </c>
    </row>
    <row r="494">
      <c r="A494" s="18" t="n"/>
      <c r="F494" s="19" t="n"/>
      <c r="G494" s="19" t="n"/>
      <c r="H494" s="20">
        <f>IF(COUNT(F494:G494)=0,"",SUM(F494:G494))</f>
        <v/>
      </c>
    </row>
    <row r="495">
      <c r="A495" s="18" t="n"/>
      <c r="F495" s="19" t="n"/>
      <c r="G495" s="19" t="n"/>
      <c r="H495" s="20">
        <f>IF(COUNT(F495:G495)=0,"",SUM(F495:G495))</f>
        <v/>
      </c>
    </row>
    <row r="496">
      <c r="A496" s="18" t="n"/>
      <c r="F496" s="19" t="n"/>
      <c r="G496" s="19" t="n"/>
      <c r="H496" s="20">
        <f>IF(COUNT(F496:G496)=0,"",SUM(F496:G496))</f>
        <v/>
      </c>
    </row>
    <row r="497">
      <c r="A497" s="18" t="n"/>
      <c r="F497" s="19" t="n"/>
      <c r="G497" s="19" t="n"/>
      <c r="H497" s="20">
        <f>IF(COUNT(F497:G497)=0,"",SUM(F497:G497))</f>
        <v/>
      </c>
    </row>
    <row r="498">
      <c r="A498" s="18" t="n"/>
      <c r="F498" s="19" t="n"/>
      <c r="G498" s="19" t="n"/>
      <c r="H498" s="20">
        <f>IF(COUNT(F498:G498)=0,"",SUM(F498:G498))</f>
        <v/>
      </c>
    </row>
    <row r="499">
      <c r="A499" s="18" t="n"/>
      <c r="F499" s="19" t="n"/>
      <c r="G499" s="19" t="n"/>
      <c r="H499" s="20">
        <f>IF(COUNT(F499:G499)=0,"",SUM(F499:G499))</f>
        <v/>
      </c>
    </row>
    <row r="500">
      <c r="A500" s="18" t="n"/>
      <c r="F500" s="19" t="n"/>
      <c r="G500" s="19" t="n"/>
      <c r="H500" s="20">
        <f>IF(COUNT(F500:G500)=0,"",SUM(F500:G500))</f>
        <v/>
      </c>
    </row>
    <row r="501">
      <c r="A501" s="18" t="n"/>
      <c r="F501" s="19" t="n"/>
      <c r="G501" s="19" t="n"/>
      <c r="H501" s="20">
        <f>IF(COUNT(F501:G501)=0,"",SUM(F501:G501))</f>
        <v/>
      </c>
    </row>
  </sheetData>
  <autoFilter ref="A1:J501"/>
  <dataValidations count="7">
    <dataValidation sqref="A2:A501" showDropDown="0" showInputMessage="0" showErrorMessage="1" allowBlank="1" errorTitle="Date needed" error="Enter a date, e.g. 3/15/2026." type="date" operator="greaterThan">
      <formula1>36526</formula1>
    </dataValidation>
    <dataValidation sqref="B2:B501" showDropDown="0" showInputMessage="0" showErrorMessage="1" allowBlank="1" errorTitle="Pick from the list" error="Pick a value from the list (edit the Lists sheet to change it)." type="list">
      <formula1>=Customers!$A$2:$A$201</formula1>
    </dataValidation>
    <dataValidation sqref="D2:D501" showDropDown="0" showInputMessage="0" showErrorMessage="1" allowBlank="1" errorTitle="Pick from the list" error="Pick a value from the list (edit the Lists sheet to change it)." type="list">
      <formula1>=Lists!$A$2:$A$31</formula1>
    </dataValidation>
    <dataValidation sqref="E2:E501" showDropDown="0" showInputMessage="0" showErrorMessage="1" allowBlank="1" errorTitle="Pick from the list" error="Pick a value from the list (edit the Lists sheet to change it)." type="list">
      <formula1>=Lists!$B$2:$B$31</formula1>
    </dataValidation>
    <dataValidation sqref="F2:F501" showDropDown="0" showInputMessage="0" showErrorMessage="1" allowBlank="1" errorTitle="Amount needed" error="Enter an amount of 0 or more, without a $ sign." type="decimal" operator="greaterThanOrEqual">
      <formula1>0</formula1>
    </dataValidation>
    <dataValidation sqref="G2:G501" showDropDown="0" showInputMessage="0" showErrorMessage="1" allowBlank="1" errorTitle="Amount needed" error="Enter an amount of 0 or more, without a $ sign." type="decimal" operator="greaterThanOrEqual">
      <formula1>0</formula1>
    </dataValidation>
    <dataValidation sqref="I2:I501" showDropDown="0" showInputMessage="0" showErrorMessage="1" allowBlank="1" errorTitle="Yes or No" error="Choose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8" customWidth="1" min="3" max="3"/>
    <col width="30" customWidth="1" min="4" max="4"/>
    <col width="16" customWidth="1" min="5" max="5"/>
    <col width="13" customWidth="1" min="6" max="6"/>
    <col width="30" customWidth="1" min="7" max="7"/>
  </cols>
  <sheetData>
    <row r="1" ht="30" customHeight="1">
      <c r="A1" s="17" t="inlineStr">
        <is>
          <t>Date</t>
        </is>
      </c>
      <c r="B1" s="17" t="inlineStr">
        <is>
          <t>Vendor</t>
        </is>
      </c>
      <c r="C1" s="17" t="inlineStr">
        <is>
          <t>Category</t>
        </is>
      </c>
      <c r="D1" s="17" t="inlineStr">
        <is>
          <t>Description</t>
        </is>
      </c>
      <c r="E1" s="17" t="inlineStr">
        <is>
          <t>Payment Method</t>
        </is>
      </c>
      <c r="F1" s="17" t="inlineStr">
        <is>
          <t>Amount</t>
        </is>
      </c>
      <c r="G1" s="17" t="inlineStr">
        <is>
          <t>Notes</t>
        </is>
      </c>
    </row>
    <row r="2">
      <c r="A2" s="18" t="n"/>
      <c r="F2" s="19" t="n"/>
    </row>
    <row r="3">
      <c r="A3" s="18" t="n"/>
      <c r="F3" s="19" t="n"/>
    </row>
    <row r="4">
      <c r="A4" s="18" t="n"/>
      <c r="F4" s="19" t="n"/>
    </row>
    <row r="5">
      <c r="A5" s="18" t="n"/>
      <c r="F5" s="19" t="n"/>
    </row>
    <row r="6">
      <c r="A6" s="18" t="n"/>
      <c r="F6" s="19" t="n"/>
    </row>
    <row r="7">
      <c r="A7" s="18" t="n"/>
      <c r="F7" s="19" t="n"/>
    </row>
    <row r="8">
      <c r="A8" s="18" t="n"/>
      <c r="F8" s="19" t="n"/>
    </row>
    <row r="9">
      <c r="A9" s="18" t="n"/>
      <c r="F9" s="19" t="n"/>
    </row>
    <row r="10">
      <c r="A10" s="18" t="n"/>
      <c r="F10" s="19" t="n"/>
    </row>
    <row r="11">
      <c r="A11" s="18" t="n"/>
      <c r="F11" s="19" t="n"/>
    </row>
    <row r="12">
      <c r="A12" s="18" t="n"/>
      <c r="F12" s="19" t="n"/>
    </row>
    <row r="13">
      <c r="A13" s="18" t="n"/>
      <c r="F13" s="19" t="n"/>
    </row>
    <row r="14">
      <c r="A14" s="18" t="n"/>
      <c r="F14" s="19" t="n"/>
    </row>
    <row r="15">
      <c r="A15" s="18" t="n"/>
      <c r="F15" s="19" t="n"/>
    </row>
    <row r="16">
      <c r="A16" s="18" t="n"/>
      <c r="F16" s="19" t="n"/>
    </row>
    <row r="17">
      <c r="A17" s="18" t="n"/>
      <c r="F17" s="19" t="n"/>
    </row>
    <row r="18">
      <c r="A18" s="18" t="n"/>
      <c r="F18" s="19" t="n"/>
    </row>
    <row r="19">
      <c r="A19" s="18" t="n"/>
      <c r="F19" s="19" t="n"/>
    </row>
    <row r="20">
      <c r="A20" s="18" t="n"/>
      <c r="F20" s="19" t="n"/>
    </row>
    <row r="21">
      <c r="A21" s="18" t="n"/>
      <c r="F21" s="19" t="n"/>
    </row>
    <row r="22">
      <c r="A22" s="18" t="n"/>
      <c r="F22" s="19" t="n"/>
    </row>
    <row r="23">
      <c r="A23" s="18" t="n"/>
      <c r="F23" s="19" t="n"/>
    </row>
    <row r="24">
      <c r="A24" s="18" t="n"/>
      <c r="F24" s="19" t="n"/>
    </row>
    <row r="25">
      <c r="A25" s="18" t="n"/>
      <c r="F25" s="19" t="n"/>
    </row>
    <row r="26">
      <c r="A26" s="18" t="n"/>
      <c r="F26" s="19" t="n"/>
    </row>
    <row r="27">
      <c r="A27" s="18" t="n"/>
      <c r="F27" s="19" t="n"/>
    </row>
    <row r="28">
      <c r="A28" s="18" t="n"/>
      <c r="F28" s="19" t="n"/>
    </row>
    <row r="29">
      <c r="A29" s="18" t="n"/>
      <c r="F29" s="19" t="n"/>
    </row>
    <row r="30">
      <c r="A30" s="18" t="n"/>
      <c r="F30" s="19" t="n"/>
    </row>
    <row r="31">
      <c r="A31" s="18" t="n"/>
      <c r="F31" s="19" t="n"/>
    </row>
    <row r="32">
      <c r="A32" s="18" t="n"/>
      <c r="F32" s="19" t="n"/>
    </row>
    <row r="33">
      <c r="A33" s="18" t="n"/>
      <c r="F33" s="19" t="n"/>
    </row>
    <row r="34">
      <c r="A34" s="18" t="n"/>
      <c r="F34" s="19" t="n"/>
    </row>
    <row r="35">
      <c r="A35" s="18" t="n"/>
      <c r="F35" s="19" t="n"/>
    </row>
    <row r="36">
      <c r="A36" s="18" t="n"/>
      <c r="F36" s="19" t="n"/>
    </row>
    <row r="37">
      <c r="A37" s="18" t="n"/>
      <c r="F37" s="19" t="n"/>
    </row>
    <row r="38">
      <c r="A38" s="18" t="n"/>
      <c r="F38" s="19" t="n"/>
    </row>
    <row r="39">
      <c r="A39" s="18" t="n"/>
      <c r="F39" s="19" t="n"/>
    </row>
    <row r="40">
      <c r="A40" s="18" t="n"/>
      <c r="F40" s="19" t="n"/>
    </row>
    <row r="41">
      <c r="A41" s="18" t="n"/>
      <c r="F41" s="19" t="n"/>
    </row>
    <row r="42">
      <c r="A42" s="18" t="n"/>
      <c r="F42" s="19" t="n"/>
    </row>
    <row r="43">
      <c r="A43" s="18" t="n"/>
      <c r="F43" s="19" t="n"/>
    </row>
    <row r="44">
      <c r="A44" s="18" t="n"/>
      <c r="F44" s="19" t="n"/>
    </row>
    <row r="45">
      <c r="A45" s="18" t="n"/>
      <c r="F45" s="19" t="n"/>
    </row>
    <row r="46">
      <c r="A46" s="18" t="n"/>
      <c r="F46" s="19" t="n"/>
    </row>
    <row r="47">
      <c r="A47" s="18" t="n"/>
      <c r="F47" s="19" t="n"/>
    </row>
    <row r="48">
      <c r="A48" s="18" t="n"/>
      <c r="F48" s="19" t="n"/>
    </row>
    <row r="49">
      <c r="A49" s="18" t="n"/>
      <c r="F49" s="19" t="n"/>
    </row>
    <row r="50">
      <c r="A50" s="18" t="n"/>
      <c r="F50" s="19" t="n"/>
    </row>
    <row r="51">
      <c r="A51" s="18" t="n"/>
      <c r="F51" s="19" t="n"/>
    </row>
    <row r="52">
      <c r="A52" s="18" t="n"/>
      <c r="F52" s="19" t="n"/>
    </row>
    <row r="53">
      <c r="A53" s="18" t="n"/>
      <c r="F53" s="19" t="n"/>
    </row>
    <row r="54">
      <c r="A54" s="18" t="n"/>
      <c r="F54" s="19" t="n"/>
    </row>
    <row r="55">
      <c r="A55" s="18" t="n"/>
      <c r="F55" s="19" t="n"/>
    </row>
    <row r="56">
      <c r="A56" s="18" t="n"/>
      <c r="F56" s="19" t="n"/>
    </row>
    <row r="57">
      <c r="A57" s="18" t="n"/>
      <c r="F57" s="19" t="n"/>
    </row>
    <row r="58">
      <c r="A58" s="18" t="n"/>
      <c r="F58" s="19" t="n"/>
    </row>
    <row r="59">
      <c r="A59" s="18" t="n"/>
      <c r="F59" s="19" t="n"/>
    </row>
    <row r="60">
      <c r="A60" s="18" t="n"/>
      <c r="F60" s="19" t="n"/>
    </row>
    <row r="61">
      <c r="A61" s="18" t="n"/>
      <c r="F61" s="19" t="n"/>
    </row>
    <row r="62">
      <c r="A62" s="18" t="n"/>
      <c r="F62" s="19" t="n"/>
    </row>
    <row r="63">
      <c r="A63" s="18" t="n"/>
      <c r="F63" s="19" t="n"/>
    </row>
    <row r="64">
      <c r="A64" s="18" t="n"/>
      <c r="F64" s="19" t="n"/>
    </row>
    <row r="65">
      <c r="A65" s="18" t="n"/>
      <c r="F65" s="19" t="n"/>
    </row>
    <row r="66">
      <c r="A66" s="18" t="n"/>
      <c r="F66" s="19" t="n"/>
    </row>
    <row r="67">
      <c r="A67" s="18" t="n"/>
      <c r="F67" s="19" t="n"/>
    </row>
    <row r="68">
      <c r="A68" s="18" t="n"/>
      <c r="F68" s="19" t="n"/>
    </row>
    <row r="69">
      <c r="A69" s="18" t="n"/>
      <c r="F69" s="19" t="n"/>
    </row>
    <row r="70">
      <c r="A70" s="18" t="n"/>
      <c r="F70" s="19" t="n"/>
    </row>
    <row r="71">
      <c r="A71" s="18" t="n"/>
      <c r="F71" s="19" t="n"/>
    </row>
    <row r="72">
      <c r="A72" s="18" t="n"/>
      <c r="F72" s="19" t="n"/>
    </row>
    <row r="73">
      <c r="A73" s="18" t="n"/>
      <c r="F73" s="19" t="n"/>
    </row>
    <row r="74">
      <c r="A74" s="18" t="n"/>
      <c r="F74" s="19" t="n"/>
    </row>
    <row r="75">
      <c r="A75" s="18" t="n"/>
      <c r="F75" s="19" t="n"/>
    </row>
    <row r="76">
      <c r="A76" s="18" t="n"/>
      <c r="F76" s="19" t="n"/>
    </row>
    <row r="77">
      <c r="A77" s="18" t="n"/>
      <c r="F77" s="19" t="n"/>
    </row>
    <row r="78">
      <c r="A78" s="18" t="n"/>
      <c r="F78" s="19" t="n"/>
    </row>
    <row r="79">
      <c r="A79" s="18" t="n"/>
      <c r="F79" s="19" t="n"/>
    </row>
    <row r="80">
      <c r="A80" s="18" t="n"/>
      <c r="F80" s="19" t="n"/>
    </row>
    <row r="81">
      <c r="A81" s="18" t="n"/>
      <c r="F81" s="19" t="n"/>
    </row>
    <row r="82">
      <c r="A82" s="18" t="n"/>
      <c r="F82" s="19" t="n"/>
    </row>
    <row r="83">
      <c r="A83" s="18" t="n"/>
      <c r="F83" s="19" t="n"/>
    </row>
    <row r="84">
      <c r="A84" s="18" t="n"/>
      <c r="F84" s="19" t="n"/>
    </row>
    <row r="85">
      <c r="A85" s="18" t="n"/>
      <c r="F85" s="19" t="n"/>
    </row>
    <row r="86">
      <c r="A86" s="18" t="n"/>
      <c r="F86" s="19" t="n"/>
    </row>
    <row r="87">
      <c r="A87" s="18" t="n"/>
      <c r="F87" s="19" t="n"/>
    </row>
    <row r="88">
      <c r="A88" s="18" t="n"/>
      <c r="F88" s="19" t="n"/>
    </row>
    <row r="89">
      <c r="A89" s="18" t="n"/>
      <c r="F89" s="19" t="n"/>
    </row>
    <row r="90">
      <c r="A90" s="18" t="n"/>
      <c r="F90" s="19" t="n"/>
    </row>
    <row r="91">
      <c r="A91" s="18" t="n"/>
      <c r="F91" s="19" t="n"/>
    </row>
    <row r="92">
      <c r="A92" s="18" t="n"/>
      <c r="F92" s="19" t="n"/>
    </row>
    <row r="93">
      <c r="A93" s="18" t="n"/>
      <c r="F93" s="19" t="n"/>
    </row>
    <row r="94">
      <c r="A94" s="18" t="n"/>
      <c r="F94" s="19" t="n"/>
    </row>
    <row r="95">
      <c r="A95" s="18" t="n"/>
      <c r="F95" s="19" t="n"/>
    </row>
    <row r="96">
      <c r="A96" s="18" t="n"/>
      <c r="F96" s="19" t="n"/>
    </row>
    <row r="97">
      <c r="A97" s="18" t="n"/>
      <c r="F97" s="19" t="n"/>
    </row>
    <row r="98">
      <c r="A98" s="18" t="n"/>
      <c r="F98" s="19" t="n"/>
    </row>
    <row r="99">
      <c r="A99" s="18" t="n"/>
      <c r="F99" s="19" t="n"/>
    </row>
    <row r="100">
      <c r="A100" s="18" t="n"/>
      <c r="F100" s="19" t="n"/>
    </row>
    <row r="101">
      <c r="A101" s="18" t="n"/>
      <c r="F101" s="19" t="n"/>
    </row>
    <row r="102">
      <c r="A102" s="18" t="n"/>
      <c r="F102" s="19" t="n"/>
    </row>
    <row r="103">
      <c r="A103" s="18" t="n"/>
      <c r="F103" s="19" t="n"/>
    </row>
    <row r="104">
      <c r="A104" s="18" t="n"/>
      <c r="F104" s="19" t="n"/>
    </row>
    <row r="105">
      <c r="A105" s="18" t="n"/>
      <c r="F105" s="19" t="n"/>
    </row>
    <row r="106">
      <c r="A106" s="18" t="n"/>
      <c r="F106" s="19" t="n"/>
    </row>
    <row r="107">
      <c r="A107" s="18" t="n"/>
      <c r="F107" s="19" t="n"/>
    </row>
    <row r="108">
      <c r="A108" s="18" t="n"/>
      <c r="F108" s="19" t="n"/>
    </row>
    <row r="109">
      <c r="A109" s="18" t="n"/>
      <c r="F109" s="19" t="n"/>
    </row>
    <row r="110">
      <c r="A110" s="18" t="n"/>
      <c r="F110" s="19" t="n"/>
    </row>
    <row r="111">
      <c r="A111" s="18" t="n"/>
      <c r="F111" s="19" t="n"/>
    </row>
    <row r="112">
      <c r="A112" s="18" t="n"/>
      <c r="F112" s="19" t="n"/>
    </row>
    <row r="113">
      <c r="A113" s="18" t="n"/>
      <c r="F113" s="19" t="n"/>
    </row>
    <row r="114">
      <c r="A114" s="18" t="n"/>
      <c r="F114" s="19" t="n"/>
    </row>
    <row r="115">
      <c r="A115" s="18" t="n"/>
      <c r="F115" s="19" t="n"/>
    </row>
    <row r="116">
      <c r="A116" s="18" t="n"/>
      <c r="F116" s="19" t="n"/>
    </row>
    <row r="117">
      <c r="A117" s="18" t="n"/>
      <c r="F117" s="19" t="n"/>
    </row>
    <row r="118">
      <c r="A118" s="18" t="n"/>
      <c r="F118" s="19" t="n"/>
    </row>
    <row r="119">
      <c r="A119" s="18" t="n"/>
      <c r="F119" s="19" t="n"/>
    </row>
    <row r="120">
      <c r="A120" s="18" t="n"/>
      <c r="F120" s="19" t="n"/>
    </row>
    <row r="121">
      <c r="A121" s="18" t="n"/>
      <c r="F121" s="19" t="n"/>
    </row>
    <row r="122">
      <c r="A122" s="18" t="n"/>
      <c r="F122" s="19" t="n"/>
    </row>
    <row r="123">
      <c r="A123" s="18" t="n"/>
      <c r="F123" s="19" t="n"/>
    </row>
    <row r="124">
      <c r="A124" s="18" t="n"/>
      <c r="F124" s="19" t="n"/>
    </row>
    <row r="125">
      <c r="A125" s="18" t="n"/>
      <c r="F125" s="19" t="n"/>
    </row>
    <row r="126">
      <c r="A126" s="18" t="n"/>
      <c r="F126" s="19" t="n"/>
    </row>
    <row r="127">
      <c r="A127" s="18" t="n"/>
      <c r="F127" s="19" t="n"/>
    </row>
    <row r="128">
      <c r="A128" s="18" t="n"/>
      <c r="F128" s="19" t="n"/>
    </row>
    <row r="129">
      <c r="A129" s="18" t="n"/>
      <c r="F129" s="19" t="n"/>
    </row>
    <row r="130">
      <c r="A130" s="18" t="n"/>
      <c r="F130" s="19" t="n"/>
    </row>
    <row r="131">
      <c r="A131" s="18" t="n"/>
      <c r="F131" s="19" t="n"/>
    </row>
    <row r="132">
      <c r="A132" s="18" t="n"/>
      <c r="F132" s="19" t="n"/>
    </row>
    <row r="133">
      <c r="A133" s="18" t="n"/>
      <c r="F133" s="19" t="n"/>
    </row>
    <row r="134">
      <c r="A134" s="18" t="n"/>
      <c r="F134" s="19" t="n"/>
    </row>
    <row r="135">
      <c r="A135" s="18" t="n"/>
      <c r="F135" s="19" t="n"/>
    </row>
    <row r="136">
      <c r="A136" s="18" t="n"/>
      <c r="F136" s="19" t="n"/>
    </row>
    <row r="137">
      <c r="A137" s="18" t="n"/>
      <c r="F137" s="19" t="n"/>
    </row>
    <row r="138">
      <c r="A138" s="18" t="n"/>
      <c r="F138" s="19" t="n"/>
    </row>
    <row r="139">
      <c r="A139" s="18" t="n"/>
      <c r="F139" s="19" t="n"/>
    </row>
    <row r="140">
      <c r="A140" s="18" t="n"/>
      <c r="F140" s="19" t="n"/>
    </row>
    <row r="141">
      <c r="A141" s="18" t="n"/>
      <c r="F141" s="19" t="n"/>
    </row>
    <row r="142">
      <c r="A142" s="18" t="n"/>
      <c r="F142" s="19" t="n"/>
    </row>
    <row r="143">
      <c r="A143" s="18" t="n"/>
      <c r="F143" s="19" t="n"/>
    </row>
    <row r="144">
      <c r="A144" s="18" t="n"/>
      <c r="F144" s="19" t="n"/>
    </row>
    <row r="145">
      <c r="A145" s="18" t="n"/>
      <c r="F145" s="19" t="n"/>
    </row>
    <row r="146">
      <c r="A146" s="18" t="n"/>
      <c r="F146" s="19" t="n"/>
    </row>
    <row r="147">
      <c r="A147" s="18" t="n"/>
      <c r="F147" s="19" t="n"/>
    </row>
    <row r="148">
      <c r="A148" s="18" t="n"/>
      <c r="F148" s="19" t="n"/>
    </row>
    <row r="149">
      <c r="A149" s="18" t="n"/>
      <c r="F149" s="19" t="n"/>
    </row>
    <row r="150">
      <c r="A150" s="18" t="n"/>
      <c r="F150" s="19" t="n"/>
    </row>
    <row r="151">
      <c r="A151" s="18" t="n"/>
      <c r="F151" s="19" t="n"/>
    </row>
    <row r="152">
      <c r="A152" s="18" t="n"/>
      <c r="F152" s="19" t="n"/>
    </row>
    <row r="153">
      <c r="A153" s="18" t="n"/>
      <c r="F153" s="19" t="n"/>
    </row>
    <row r="154">
      <c r="A154" s="18" t="n"/>
      <c r="F154" s="19" t="n"/>
    </row>
    <row r="155">
      <c r="A155" s="18" t="n"/>
      <c r="F155" s="19" t="n"/>
    </row>
    <row r="156">
      <c r="A156" s="18" t="n"/>
      <c r="F156" s="19" t="n"/>
    </row>
    <row r="157">
      <c r="A157" s="18" t="n"/>
      <c r="F157" s="19" t="n"/>
    </row>
    <row r="158">
      <c r="A158" s="18" t="n"/>
      <c r="F158" s="19" t="n"/>
    </row>
    <row r="159">
      <c r="A159" s="18" t="n"/>
      <c r="F159" s="19" t="n"/>
    </row>
    <row r="160">
      <c r="A160" s="18" t="n"/>
      <c r="F160" s="19" t="n"/>
    </row>
    <row r="161">
      <c r="A161" s="18" t="n"/>
      <c r="F161" s="19" t="n"/>
    </row>
    <row r="162">
      <c r="A162" s="18" t="n"/>
      <c r="F162" s="19" t="n"/>
    </row>
    <row r="163">
      <c r="A163" s="18" t="n"/>
      <c r="F163" s="19" t="n"/>
    </row>
    <row r="164">
      <c r="A164" s="18" t="n"/>
      <c r="F164" s="19" t="n"/>
    </row>
    <row r="165">
      <c r="A165" s="18" t="n"/>
      <c r="F165" s="19" t="n"/>
    </row>
    <row r="166">
      <c r="A166" s="18" t="n"/>
      <c r="F166" s="19" t="n"/>
    </row>
    <row r="167">
      <c r="A167" s="18" t="n"/>
      <c r="F167" s="19" t="n"/>
    </row>
    <row r="168">
      <c r="A168" s="18" t="n"/>
      <c r="F168" s="19" t="n"/>
    </row>
    <row r="169">
      <c r="A169" s="18" t="n"/>
      <c r="F169" s="19" t="n"/>
    </row>
    <row r="170">
      <c r="A170" s="18" t="n"/>
      <c r="F170" s="19" t="n"/>
    </row>
    <row r="171">
      <c r="A171" s="18" t="n"/>
      <c r="F171" s="19" t="n"/>
    </row>
    <row r="172">
      <c r="A172" s="18" t="n"/>
      <c r="F172" s="19" t="n"/>
    </row>
    <row r="173">
      <c r="A173" s="18" t="n"/>
      <c r="F173" s="19" t="n"/>
    </row>
    <row r="174">
      <c r="A174" s="18" t="n"/>
      <c r="F174" s="19" t="n"/>
    </row>
    <row r="175">
      <c r="A175" s="18" t="n"/>
      <c r="F175" s="19" t="n"/>
    </row>
    <row r="176">
      <c r="A176" s="18" t="n"/>
      <c r="F176" s="19" t="n"/>
    </row>
    <row r="177">
      <c r="A177" s="18" t="n"/>
      <c r="F177" s="19" t="n"/>
    </row>
    <row r="178">
      <c r="A178" s="18" t="n"/>
      <c r="F178" s="19" t="n"/>
    </row>
    <row r="179">
      <c r="A179" s="18" t="n"/>
      <c r="F179" s="19" t="n"/>
    </row>
    <row r="180">
      <c r="A180" s="18" t="n"/>
      <c r="F180" s="19" t="n"/>
    </row>
    <row r="181">
      <c r="A181" s="18" t="n"/>
      <c r="F181" s="19" t="n"/>
    </row>
    <row r="182">
      <c r="A182" s="18" t="n"/>
      <c r="F182" s="19" t="n"/>
    </row>
    <row r="183">
      <c r="A183" s="18" t="n"/>
      <c r="F183" s="19" t="n"/>
    </row>
    <row r="184">
      <c r="A184" s="18" t="n"/>
      <c r="F184" s="19" t="n"/>
    </row>
    <row r="185">
      <c r="A185" s="18" t="n"/>
      <c r="F185" s="19" t="n"/>
    </row>
    <row r="186">
      <c r="A186" s="18" t="n"/>
      <c r="F186" s="19" t="n"/>
    </row>
    <row r="187">
      <c r="A187" s="18" t="n"/>
      <c r="F187" s="19" t="n"/>
    </row>
    <row r="188">
      <c r="A188" s="18" t="n"/>
      <c r="F188" s="19" t="n"/>
    </row>
    <row r="189">
      <c r="A189" s="18" t="n"/>
      <c r="F189" s="19" t="n"/>
    </row>
    <row r="190">
      <c r="A190" s="18" t="n"/>
      <c r="F190" s="19" t="n"/>
    </row>
    <row r="191">
      <c r="A191" s="18" t="n"/>
      <c r="F191" s="19" t="n"/>
    </row>
    <row r="192">
      <c r="A192" s="18" t="n"/>
      <c r="F192" s="19" t="n"/>
    </row>
    <row r="193">
      <c r="A193" s="18" t="n"/>
      <c r="F193" s="19" t="n"/>
    </row>
    <row r="194">
      <c r="A194" s="18" t="n"/>
      <c r="F194" s="19" t="n"/>
    </row>
    <row r="195">
      <c r="A195" s="18" t="n"/>
      <c r="F195" s="19" t="n"/>
    </row>
    <row r="196">
      <c r="A196" s="18" t="n"/>
      <c r="F196" s="19" t="n"/>
    </row>
    <row r="197">
      <c r="A197" s="18" t="n"/>
      <c r="F197" s="19" t="n"/>
    </row>
    <row r="198">
      <c r="A198" s="18" t="n"/>
      <c r="F198" s="19" t="n"/>
    </row>
    <row r="199">
      <c r="A199" s="18" t="n"/>
      <c r="F199" s="19" t="n"/>
    </row>
    <row r="200">
      <c r="A200" s="18" t="n"/>
      <c r="F200" s="19" t="n"/>
    </row>
    <row r="201">
      <c r="A201" s="18" t="n"/>
      <c r="F201" s="19" t="n"/>
    </row>
    <row r="202">
      <c r="A202" s="18" t="n"/>
      <c r="F202" s="19" t="n"/>
    </row>
    <row r="203">
      <c r="A203" s="18" t="n"/>
      <c r="F203" s="19" t="n"/>
    </row>
    <row r="204">
      <c r="A204" s="18" t="n"/>
      <c r="F204" s="19" t="n"/>
    </row>
    <row r="205">
      <c r="A205" s="18" t="n"/>
      <c r="F205" s="19" t="n"/>
    </row>
    <row r="206">
      <c r="A206" s="18" t="n"/>
      <c r="F206" s="19" t="n"/>
    </row>
    <row r="207">
      <c r="A207" s="18" t="n"/>
      <c r="F207" s="19" t="n"/>
    </row>
    <row r="208">
      <c r="A208" s="18" t="n"/>
      <c r="F208" s="19" t="n"/>
    </row>
    <row r="209">
      <c r="A209" s="18" t="n"/>
      <c r="F209" s="19" t="n"/>
    </row>
    <row r="210">
      <c r="A210" s="18" t="n"/>
      <c r="F210" s="19" t="n"/>
    </row>
    <row r="211">
      <c r="A211" s="18" t="n"/>
      <c r="F211" s="19" t="n"/>
    </row>
    <row r="212">
      <c r="A212" s="18" t="n"/>
      <c r="F212" s="19" t="n"/>
    </row>
    <row r="213">
      <c r="A213" s="18" t="n"/>
      <c r="F213" s="19" t="n"/>
    </row>
    <row r="214">
      <c r="A214" s="18" t="n"/>
      <c r="F214" s="19" t="n"/>
    </row>
    <row r="215">
      <c r="A215" s="18" t="n"/>
      <c r="F215" s="19" t="n"/>
    </row>
    <row r="216">
      <c r="A216" s="18" t="n"/>
      <c r="F216" s="19" t="n"/>
    </row>
    <row r="217">
      <c r="A217" s="18" t="n"/>
      <c r="F217" s="19" t="n"/>
    </row>
    <row r="218">
      <c r="A218" s="18" t="n"/>
      <c r="F218" s="19" t="n"/>
    </row>
    <row r="219">
      <c r="A219" s="18" t="n"/>
      <c r="F219" s="19" t="n"/>
    </row>
    <row r="220">
      <c r="A220" s="18" t="n"/>
      <c r="F220" s="19" t="n"/>
    </row>
    <row r="221">
      <c r="A221" s="18" t="n"/>
      <c r="F221" s="19" t="n"/>
    </row>
    <row r="222">
      <c r="A222" s="18" t="n"/>
      <c r="F222" s="19" t="n"/>
    </row>
    <row r="223">
      <c r="A223" s="18" t="n"/>
      <c r="F223" s="19" t="n"/>
    </row>
    <row r="224">
      <c r="A224" s="18" t="n"/>
      <c r="F224" s="19" t="n"/>
    </row>
    <row r="225">
      <c r="A225" s="18" t="n"/>
      <c r="F225" s="19" t="n"/>
    </row>
    <row r="226">
      <c r="A226" s="18" t="n"/>
      <c r="F226" s="19" t="n"/>
    </row>
    <row r="227">
      <c r="A227" s="18" t="n"/>
      <c r="F227" s="19" t="n"/>
    </row>
    <row r="228">
      <c r="A228" s="18" t="n"/>
      <c r="F228" s="19" t="n"/>
    </row>
    <row r="229">
      <c r="A229" s="18" t="n"/>
      <c r="F229" s="19" t="n"/>
    </row>
    <row r="230">
      <c r="A230" s="18" t="n"/>
      <c r="F230" s="19" t="n"/>
    </row>
    <row r="231">
      <c r="A231" s="18" t="n"/>
      <c r="F231" s="19" t="n"/>
    </row>
    <row r="232">
      <c r="A232" s="18" t="n"/>
      <c r="F232" s="19" t="n"/>
    </row>
    <row r="233">
      <c r="A233" s="18" t="n"/>
      <c r="F233" s="19" t="n"/>
    </row>
    <row r="234">
      <c r="A234" s="18" t="n"/>
      <c r="F234" s="19" t="n"/>
    </row>
    <row r="235">
      <c r="A235" s="18" t="n"/>
      <c r="F235" s="19" t="n"/>
    </row>
    <row r="236">
      <c r="A236" s="18" t="n"/>
      <c r="F236" s="19" t="n"/>
    </row>
    <row r="237">
      <c r="A237" s="18" t="n"/>
      <c r="F237" s="19" t="n"/>
    </row>
    <row r="238">
      <c r="A238" s="18" t="n"/>
      <c r="F238" s="19" t="n"/>
    </row>
    <row r="239">
      <c r="A239" s="18" t="n"/>
      <c r="F239" s="19" t="n"/>
    </row>
    <row r="240">
      <c r="A240" s="18" t="n"/>
      <c r="F240" s="19" t="n"/>
    </row>
    <row r="241">
      <c r="A241" s="18" t="n"/>
      <c r="F241" s="19" t="n"/>
    </row>
    <row r="242">
      <c r="A242" s="18" t="n"/>
      <c r="F242" s="19" t="n"/>
    </row>
    <row r="243">
      <c r="A243" s="18" t="n"/>
      <c r="F243" s="19" t="n"/>
    </row>
    <row r="244">
      <c r="A244" s="18" t="n"/>
      <c r="F244" s="19" t="n"/>
    </row>
    <row r="245">
      <c r="A245" s="18" t="n"/>
      <c r="F245" s="19" t="n"/>
    </row>
    <row r="246">
      <c r="A246" s="18" t="n"/>
      <c r="F246" s="19" t="n"/>
    </row>
    <row r="247">
      <c r="A247" s="18" t="n"/>
      <c r="F247" s="19" t="n"/>
    </row>
    <row r="248">
      <c r="A248" s="18" t="n"/>
      <c r="F248" s="19" t="n"/>
    </row>
    <row r="249">
      <c r="A249" s="18" t="n"/>
      <c r="F249" s="19" t="n"/>
    </row>
    <row r="250">
      <c r="A250" s="18" t="n"/>
      <c r="F250" s="19" t="n"/>
    </row>
    <row r="251">
      <c r="A251" s="18" t="n"/>
      <c r="F251" s="19" t="n"/>
    </row>
    <row r="252">
      <c r="A252" s="18" t="n"/>
      <c r="F252" s="19" t="n"/>
    </row>
    <row r="253">
      <c r="A253" s="18" t="n"/>
      <c r="F253" s="19" t="n"/>
    </row>
    <row r="254">
      <c r="A254" s="18" t="n"/>
      <c r="F254" s="19" t="n"/>
    </row>
    <row r="255">
      <c r="A255" s="18" t="n"/>
      <c r="F255" s="19" t="n"/>
    </row>
    <row r="256">
      <c r="A256" s="18" t="n"/>
      <c r="F256" s="19" t="n"/>
    </row>
    <row r="257">
      <c r="A257" s="18" t="n"/>
      <c r="F257" s="19" t="n"/>
    </row>
    <row r="258">
      <c r="A258" s="18" t="n"/>
      <c r="F258" s="19" t="n"/>
    </row>
    <row r="259">
      <c r="A259" s="18" t="n"/>
      <c r="F259" s="19" t="n"/>
    </row>
    <row r="260">
      <c r="A260" s="18" t="n"/>
      <c r="F260" s="19" t="n"/>
    </row>
    <row r="261">
      <c r="A261" s="18" t="n"/>
      <c r="F261" s="19" t="n"/>
    </row>
    <row r="262">
      <c r="A262" s="18" t="n"/>
      <c r="F262" s="19" t="n"/>
    </row>
    <row r="263">
      <c r="A263" s="18" t="n"/>
      <c r="F263" s="19" t="n"/>
    </row>
    <row r="264">
      <c r="A264" s="18" t="n"/>
      <c r="F264" s="19" t="n"/>
    </row>
    <row r="265">
      <c r="A265" s="18" t="n"/>
      <c r="F265" s="19" t="n"/>
    </row>
    <row r="266">
      <c r="A266" s="18" t="n"/>
      <c r="F266" s="19" t="n"/>
    </row>
    <row r="267">
      <c r="A267" s="18" t="n"/>
      <c r="F267" s="19" t="n"/>
    </row>
    <row r="268">
      <c r="A268" s="18" t="n"/>
      <c r="F268" s="19" t="n"/>
    </row>
    <row r="269">
      <c r="A269" s="18" t="n"/>
      <c r="F269" s="19" t="n"/>
    </row>
    <row r="270">
      <c r="A270" s="18" t="n"/>
      <c r="F270" s="19" t="n"/>
    </row>
    <row r="271">
      <c r="A271" s="18" t="n"/>
      <c r="F271" s="19" t="n"/>
    </row>
    <row r="272">
      <c r="A272" s="18" t="n"/>
      <c r="F272" s="19" t="n"/>
    </row>
    <row r="273">
      <c r="A273" s="18" t="n"/>
      <c r="F273" s="19" t="n"/>
    </row>
    <row r="274">
      <c r="A274" s="18" t="n"/>
      <c r="F274" s="19" t="n"/>
    </row>
    <row r="275">
      <c r="A275" s="18" t="n"/>
      <c r="F275" s="19" t="n"/>
    </row>
    <row r="276">
      <c r="A276" s="18" t="n"/>
      <c r="F276" s="19" t="n"/>
    </row>
    <row r="277">
      <c r="A277" s="18" t="n"/>
      <c r="F277" s="19" t="n"/>
    </row>
    <row r="278">
      <c r="A278" s="18" t="n"/>
      <c r="F278" s="19" t="n"/>
    </row>
    <row r="279">
      <c r="A279" s="18" t="n"/>
      <c r="F279" s="19" t="n"/>
    </row>
    <row r="280">
      <c r="A280" s="18" t="n"/>
      <c r="F280" s="19" t="n"/>
    </row>
    <row r="281">
      <c r="A281" s="18" t="n"/>
      <c r="F281" s="19" t="n"/>
    </row>
    <row r="282">
      <c r="A282" s="18" t="n"/>
      <c r="F282" s="19" t="n"/>
    </row>
    <row r="283">
      <c r="A283" s="18" t="n"/>
      <c r="F283" s="19" t="n"/>
    </row>
    <row r="284">
      <c r="A284" s="18" t="n"/>
      <c r="F284" s="19" t="n"/>
    </row>
    <row r="285">
      <c r="A285" s="18" t="n"/>
      <c r="F285" s="19" t="n"/>
    </row>
    <row r="286">
      <c r="A286" s="18" t="n"/>
      <c r="F286" s="19" t="n"/>
    </row>
    <row r="287">
      <c r="A287" s="18" t="n"/>
      <c r="F287" s="19" t="n"/>
    </row>
    <row r="288">
      <c r="A288" s="18" t="n"/>
      <c r="F288" s="19" t="n"/>
    </row>
    <row r="289">
      <c r="A289" s="18" t="n"/>
      <c r="F289" s="19" t="n"/>
    </row>
    <row r="290">
      <c r="A290" s="18" t="n"/>
      <c r="F290" s="19" t="n"/>
    </row>
    <row r="291">
      <c r="A291" s="18" t="n"/>
      <c r="F291" s="19" t="n"/>
    </row>
    <row r="292">
      <c r="A292" s="18" t="n"/>
      <c r="F292" s="19" t="n"/>
    </row>
    <row r="293">
      <c r="A293" s="18" t="n"/>
      <c r="F293" s="19" t="n"/>
    </row>
    <row r="294">
      <c r="A294" s="18" t="n"/>
      <c r="F294" s="19" t="n"/>
    </row>
    <row r="295">
      <c r="A295" s="18" t="n"/>
      <c r="F295" s="19" t="n"/>
    </row>
    <row r="296">
      <c r="A296" s="18" t="n"/>
      <c r="F296" s="19" t="n"/>
    </row>
    <row r="297">
      <c r="A297" s="18" t="n"/>
      <c r="F297" s="19" t="n"/>
    </row>
    <row r="298">
      <c r="A298" s="18" t="n"/>
      <c r="F298" s="19" t="n"/>
    </row>
    <row r="299">
      <c r="A299" s="18" t="n"/>
      <c r="F299" s="19" t="n"/>
    </row>
    <row r="300">
      <c r="A300" s="18" t="n"/>
      <c r="F300" s="19" t="n"/>
    </row>
    <row r="301">
      <c r="A301" s="18" t="n"/>
      <c r="F301" s="19" t="n"/>
    </row>
    <row r="302">
      <c r="A302" s="18" t="n"/>
      <c r="F302" s="19" t="n"/>
    </row>
    <row r="303">
      <c r="A303" s="18" t="n"/>
      <c r="F303" s="19" t="n"/>
    </row>
    <row r="304">
      <c r="A304" s="18" t="n"/>
      <c r="F304" s="19" t="n"/>
    </row>
    <row r="305">
      <c r="A305" s="18" t="n"/>
      <c r="F305" s="19" t="n"/>
    </row>
    <row r="306">
      <c r="A306" s="18" t="n"/>
      <c r="F306" s="19" t="n"/>
    </row>
    <row r="307">
      <c r="A307" s="18" t="n"/>
      <c r="F307" s="19" t="n"/>
    </row>
    <row r="308">
      <c r="A308" s="18" t="n"/>
      <c r="F308" s="19" t="n"/>
    </row>
    <row r="309">
      <c r="A309" s="18" t="n"/>
      <c r="F309" s="19" t="n"/>
    </row>
    <row r="310">
      <c r="A310" s="18" t="n"/>
      <c r="F310" s="19" t="n"/>
    </row>
    <row r="311">
      <c r="A311" s="18" t="n"/>
      <c r="F311" s="19" t="n"/>
    </row>
    <row r="312">
      <c r="A312" s="18" t="n"/>
      <c r="F312" s="19" t="n"/>
    </row>
    <row r="313">
      <c r="A313" s="18" t="n"/>
      <c r="F313" s="19" t="n"/>
    </row>
    <row r="314">
      <c r="A314" s="18" t="n"/>
      <c r="F314" s="19" t="n"/>
    </row>
    <row r="315">
      <c r="A315" s="18" t="n"/>
      <c r="F315" s="19" t="n"/>
    </row>
    <row r="316">
      <c r="A316" s="18" t="n"/>
      <c r="F316" s="19" t="n"/>
    </row>
    <row r="317">
      <c r="A317" s="18" t="n"/>
      <c r="F317" s="19" t="n"/>
    </row>
    <row r="318">
      <c r="A318" s="18" t="n"/>
      <c r="F318" s="19" t="n"/>
    </row>
    <row r="319">
      <c r="A319" s="18" t="n"/>
      <c r="F319" s="19" t="n"/>
    </row>
    <row r="320">
      <c r="A320" s="18" t="n"/>
      <c r="F320" s="19" t="n"/>
    </row>
    <row r="321">
      <c r="A321" s="18" t="n"/>
      <c r="F321" s="19" t="n"/>
    </row>
    <row r="322">
      <c r="A322" s="18" t="n"/>
      <c r="F322" s="19" t="n"/>
    </row>
    <row r="323">
      <c r="A323" s="18" t="n"/>
      <c r="F323" s="19" t="n"/>
    </row>
    <row r="324">
      <c r="A324" s="18" t="n"/>
      <c r="F324" s="19" t="n"/>
    </row>
    <row r="325">
      <c r="A325" s="18" t="n"/>
      <c r="F325" s="19" t="n"/>
    </row>
    <row r="326">
      <c r="A326" s="18" t="n"/>
      <c r="F326" s="19" t="n"/>
    </row>
    <row r="327">
      <c r="A327" s="18" t="n"/>
      <c r="F327" s="19" t="n"/>
    </row>
    <row r="328">
      <c r="A328" s="18" t="n"/>
      <c r="F328" s="19" t="n"/>
    </row>
    <row r="329">
      <c r="A329" s="18" t="n"/>
      <c r="F329" s="19" t="n"/>
    </row>
    <row r="330">
      <c r="A330" s="18" t="n"/>
      <c r="F330" s="19" t="n"/>
    </row>
    <row r="331">
      <c r="A331" s="18" t="n"/>
      <c r="F331" s="19" t="n"/>
    </row>
    <row r="332">
      <c r="A332" s="18" t="n"/>
      <c r="F332" s="19" t="n"/>
    </row>
    <row r="333">
      <c r="A333" s="18" t="n"/>
      <c r="F333" s="19" t="n"/>
    </row>
    <row r="334">
      <c r="A334" s="18" t="n"/>
      <c r="F334" s="19" t="n"/>
    </row>
    <row r="335">
      <c r="A335" s="18" t="n"/>
      <c r="F335" s="19" t="n"/>
    </row>
    <row r="336">
      <c r="A336" s="18" t="n"/>
      <c r="F336" s="19" t="n"/>
    </row>
    <row r="337">
      <c r="A337" s="18" t="n"/>
      <c r="F337" s="19" t="n"/>
    </row>
    <row r="338">
      <c r="A338" s="18" t="n"/>
      <c r="F338" s="19" t="n"/>
    </row>
    <row r="339">
      <c r="A339" s="18" t="n"/>
      <c r="F339" s="19" t="n"/>
    </row>
    <row r="340">
      <c r="A340" s="18" t="n"/>
      <c r="F340" s="19" t="n"/>
    </row>
    <row r="341">
      <c r="A341" s="18" t="n"/>
      <c r="F341" s="19" t="n"/>
    </row>
    <row r="342">
      <c r="A342" s="18" t="n"/>
      <c r="F342" s="19" t="n"/>
    </row>
    <row r="343">
      <c r="A343" s="18" t="n"/>
      <c r="F343" s="19" t="n"/>
    </row>
    <row r="344">
      <c r="A344" s="18" t="n"/>
      <c r="F344" s="19" t="n"/>
    </row>
    <row r="345">
      <c r="A345" s="18" t="n"/>
      <c r="F345" s="19" t="n"/>
    </row>
    <row r="346">
      <c r="A346" s="18" t="n"/>
      <c r="F346" s="19" t="n"/>
    </row>
    <row r="347">
      <c r="A347" s="18" t="n"/>
      <c r="F347" s="19" t="n"/>
    </row>
    <row r="348">
      <c r="A348" s="18" t="n"/>
      <c r="F348" s="19" t="n"/>
    </row>
    <row r="349">
      <c r="A349" s="18" t="n"/>
      <c r="F349" s="19" t="n"/>
    </row>
    <row r="350">
      <c r="A350" s="18" t="n"/>
      <c r="F350" s="19" t="n"/>
    </row>
    <row r="351">
      <c r="A351" s="18" t="n"/>
      <c r="F351" s="19" t="n"/>
    </row>
    <row r="352">
      <c r="A352" s="18" t="n"/>
      <c r="F352" s="19" t="n"/>
    </row>
    <row r="353">
      <c r="A353" s="18" t="n"/>
      <c r="F353" s="19" t="n"/>
    </row>
    <row r="354">
      <c r="A354" s="18" t="n"/>
      <c r="F354" s="19" t="n"/>
    </row>
    <row r="355">
      <c r="A355" s="18" t="n"/>
      <c r="F355" s="19" t="n"/>
    </row>
    <row r="356">
      <c r="A356" s="18" t="n"/>
      <c r="F356" s="19" t="n"/>
    </row>
    <row r="357">
      <c r="A357" s="18" t="n"/>
      <c r="F357" s="19" t="n"/>
    </row>
    <row r="358">
      <c r="A358" s="18" t="n"/>
      <c r="F358" s="19" t="n"/>
    </row>
    <row r="359">
      <c r="A359" s="18" t="n"/>
      <c r="F359" s="19" t="n"/>
    </row>
    <row r="360">
      <c r="A360" s="18" t="n"/>
      <c r="F360" s="19" t="n"/>
    </row>
    <row r="361">
      <c r="A361" s="18" t="n"/>
      <c r="F361" s="19" t="n"/>
    </row>
    <row r="362">
      <c r="A362" s="18" t="n"/>
      <c r="F362" s="19" t="n"/>
    </row>
    <row r="363">
      <c r="A363" s="18" t="n"/>
      <c r="F363" s="19" t="n"/>
    </row>
    <row r="364">
      <c r="A364" s="18" t="n"/>
      <c r="F364" s="19" t="n"/>
    </row>
    <row r="365">
      <c r="A365" s="18" t="n"/>
      <c r="F365" s="19" t="n"/>
    </row>
    <row r="366">
      <c r="A366" s="18" t="n"/>
      <c r="F366" s="19" t="n"/>
    </row>
    <row r="367">
      <c r="A367" s="18" t="n"/>
      <c r="F367" s="19" t="n"/>
    </row>
    <row r="368">
      <c r="A368" s="18" t="n"/>
      <c r="F368" s="19" t="n"/>
    </row>
    <row r="369">
      <c r="A369" s="18" t="n"/>
      <c r="F369" s="19" t="n"/>
    </row>
    <row r="370">
      <c r="A370" s="18" t="n"/>
      <c r="F370" s="19" t="n"/>
    </row>
    <row r="371">
      <c r="A371" s="18" t="n"/>
      <c r="F371" s="19" t="n"/>
    </row>
    <row r="372">
      <c r="A372" s="18" t="n"/>
      <c r="F372" s="19" t="n"/>
    </row>
    <row r="373">
      <c r="A373" s="18" t="n"/>
      <c r="F373" s="19" t="n"/>
    </row>
    <row r="374">
      <c r="A374" s="18" t="n"/>
      <c r="F374" s="19" t="n"/>
    </row>
    <row r="375">
      <c r="A375" s="18" t="n"/>
      <c r="F375" s="19" t="n"/>
    </row>
    <row r="376">
      <c r="A376" s="18" t="n"/>
      <c r="F376" s="19" t="n"/>
    </row>
    <row r="377">
      <c r="A377" s="18" t="n"/>
      <c r="F377" s="19" t="n"/>
    </row>
    <row r="378">
      <c r="A378" s="18" t="n"/>
      <c r="F378" s="19" t="n"/>
    </row>
    <row r="379">
      <c r="A379" s="18" t="n"/>
      <c r="F379" s="19" t="n"/>
    </row>
    <row r="380">
      <c r="A380" s="18" t="n"/>
      <c r="F380" s="19" t="n"/>
    </row>
    <row r="381">
      <c r="A381" s="18" t="n"/>
      <c r="F381" s="19" t="n"/>
    </row>
    <row r="382">
      <c r="A382" s="18" t="n"/>
      <c r="F382" s="19" t="n"/>
    </row>
    <row r="383">
      <c r="A383" s="18" t="n"/>
      <c r="F383" s="19" t="n"/>
    </row>
    <row r="384">
      <c r="A384" s="18" t="n"/>
      <c r="F384" s="19" t="n"/>
    </row>
    <row r="385">
      <c r="A385" s="18" t="n"/>
      <c r="F385" s="19" t="n"/>
    </row>
    <row r="386">
      <c r="A386" s="18" t="n"/>
      <c r="F386" s="19" t="n"/>
    </row>
    <row r="387">
      <c r="A387" s="18" t="n"/>
      <c r="F387" s="19" t="n"/>
    </row>
    <row r="388">
      <c r="A388" s="18" t="n"/>
      <c r="F388" s="19" t="n"/>
    </row>
    <row r="389">
      <c r="A389" s="18" t="n"/>
      <c r="F389" s="19" t="n"/>
    </row>
    <row r="390">
      <c r="A390" s="18" t="n"/>
      <c r="F390" s="19" t="n"/>
    </row>
    <row r="391">
      <c r="A391" s="18" t="n"/>
      <c r="F391" s="19" t="n"/>
    </row>
    <row r="392">
      <c r="A392" s="18" t="n"/>
      <c r="F392" s="19" t="n"/>
    </row>
    <row r="393">
      <c r="A393" s="18" t="n"/>
      <c r="F393" s="19" t="n"/>
    </row>
    <row r="394">
      <c r="A394" s="18" t="n"/>
      <c r="F394" s="19" t="n"/>
    </row>
    <row r="395">
      <c r="A395" s="18" t="n"/>
      <c r="F395" s="19" t="n"/>
    </row>
    <row r="396">
      <c r="A396" s="18" t="n"/>
      <c r="F396" s="19" t="n"/>
    </row>
    <row r="397">
      <c r="A397" s="18" t="n"/>
      <c r="F397" s="19" t="n"/>
    </row>
    <row r="398">
      <c r="A398" s="18" t="n"/>
      <c r="F398" s="19" t="n"/>
    </row>
    <row r="399">
      <c r="A399" s="18" t="n"/>
      <c r="F399" s="19" t="n"/>
    </row>
    <row r="400">
      <c r="A400" s="18" t="n"/>
      <c r="F400" s="19" t="n"/>
    </row>
    <row r="401">
      <c r="A401" s="18" t="n"/>
      <c r="F401" s="19" t="n"/>
    </row>
    <row r="402">
      <c r="A402" s="18" t="n"/>
      <c r="F402" s="19" t="n"/>
    </row>
    <row r="403">
      <c r="A403" s="18" t="n"/>
      <c r="F403" s="19" t="n"/>
    </row>
    <row r="404">
      <c r="A404" s="18" t="n"/>
      <c r="F404" s="19" t="n"/>
    </row>
    <row r="405">
      <c r="A405" s="18" t="n"/>
      <c r="F405" s="19" t="n"/>
    </row>
    <row r="406">
      <c r="A406" s="18" t="n"/>
      <c r="F406" s="19" t="n"/>
    </row>
    <row r="407">
      <c r="A407" s="18" t="n"/>
      <c r="F407" s="19" t="n"/>
    </row>
    <row r="408">
      <c r="A408" s="18" t="n"/>
      <c r="F408" s="19" t="n"/>
    </row>
    <row r="409">
      <c r="A409" s="18" t="n"/>
      <c r="F409" s="19" t="n"/>
    </row>
    <row r="410">
      <c r="A410" s="18" t="n"/>
      <c r="F410" s="19" t="n"/>
    </row>
    <row r="411">
      <c r="A411" s="18" t="n"/>
      <c r="F411" s="19" t="n"/>
    </row>
    <row r="412">
      <c r="A412" s="18" t="n"/>
      <c r="F412" s="19" t="n"/>
    </row>
    <row r="413">
      <c r="A413" s="18" t="n"/>
      <c r="F413" s="19" t="n"/>
    </row>
    <row r="414">
      <c r="A414" s="18" t="n"/>
      <c r="F414" s="19" t="n"/>
    </row>
    <row r="415">
      <c r="A415" s="18" t="n"/>
      <c r="F415" s="19" t="n"/>
    </row>
    <row r="416">
      <c r="A416" s="18" t="n"/>
      <c r="F416" s="19" t="n"/>
    </row>
    <row r="417">
      <c r="A417" s="18" t="n"/>
      <c r="F417" s="19" t="n"/>
    </row>
    <row r="418">
      <c r="A418" s="18" t="n"/>
      <c r="F418" s="19" t="n"/>
    </row>
    <row r="419">
      <c r="A419" s="18" t="n"/>
      <c r="F419" s="19" t="n"/>
    </row>
    <row r="420">
      <c r="A420" s="18" t="n"/>
      <c r="F420" s="19" t="n"/>
    </row>
    <row r="421">
      <c r="A421" s="18" t="n"/>
      <c r="F421" s="19" t="n"/>
    </row>
    <row r="422">
      <c r="A422" s="18" t="n"/>
      <c r="F422" s="19" t="n"/>
    </row>
    <row r="423">
      <c r="A423" s="18" t="n"/>
      <c r="F423" s="19" t="n"/>
    </row>
    <row r="424">
      <c r="A424" s="18" t="n"/>
      <c r="F424" s="19" t="n"/>
    </row>
    <row r="425">
      <c r="A425" s="18" t="n"/>
      <c r="F425" s="19" t="n"/>
    </row>
    <row r="426">
      <c r="A426" s="18" t="n"/>
      <c r="F426" s="19" t="n"/>
    </row>
    <row r="427">
      <c r="A427" s="18" t="n"/>
      <c r="F427" s="19" t="n"/>
    </row>
    <row r="428">
      <c r="A428" s="18" t="n"/>
      <c r="F428" s="19" t="n"/>
    </row>
    <row r="429">
      <c r="A429" s="18" t="n"/>
      <c r="F429" s="19" t="n"/>
    </row>
    <row r="430">
      <c r="A430" s="18" t="n"/>
      <c r="F430" s="19" t="n"/>
    </row>
    <row r="431">
      <c r="A431" s="18" t="n"/>
      <c r="F431" s="19" t="n"/>
    </row>
    <row r="432">
      <c r="A432" s="18" t="n"/>
      <c r="F432" s="19" t="n"/>
    </row>
    <row r="433">
      <c r="A433" s="18" t="n"/>
      <c r="F433" s="19" t="n"/>
    </row>
    <row r="434">
      <c r="A434" s="18" t="n"/>
      <c r="F434" s="19" t="n"/>
    </row>
    <row r="435">
      <c r="A435" s="18" t="n"/>
      <c r="F435" s="19" t="n"/>
    </row>
    <row r="436">
      <c r="A436" s="18" t="n"/>
      <c r="F436" s="19" t="n"/>
    </row>
    <row r="437">
      <c r="A437" s="18" t="n"/>
      <c r="F437" s="19" t="n"/>
    </row>
    <row r="438">
      <c r="A438" s="18" t="n"/>
      <c r="F438" s="19" t="n"/>
    </row>
    <row r="439">
      <c r="A439" s="18" t="n"/>
      <c r="F439" s="19" t="n"/>
    </row>
    <row r="440">
      <c r="A440" s="18" t="n"/>
      <c r="F440" s="19" t="n"/>
    </row>
    <row r="441">
      <c r="A441" s="18" t="n"/>
      <c r="F441" s="19" t="n"/>
    </row>
    <row r="442">
      <c r="A442" s="18" t="n"/>
      <c r="F442" s="19" t="n"/>
    </row>
    <row r="443">
      <c r="A443" s="18" t="n"/>
      <c r="F443" s="19" t="n"/>
    </row>
    <row r="444">
      <c r="A444" s="18" t="n"/>
      <c r="F444" s="19" t="n"/>
    </row>
    <row r="445">
      <c r="A445" s="18" t="n"/>
      <c r="F445" s="19" t="n"/>
    </row>
    <row r="446">
      <c r="A446" s="18" t="n"/>
      <c r="F446" s="19" t="n"/>
    </row>
    <row r="447">
      <c r="A447" s="18" t="n"/>
      <c r="F447" s="19" t="n"/>
    </row>
    <row r="448">
      <c r="A448" s="18" t="n"/>
      <c r="F448" s="19" t="n"/>
    </row>
    <row r="449">
      <c r="A449" s="18" t="n"/>
      <c r="F449" s="19" t="n"/>
    </row>
    <row r="450">
      <c r="A450" s="18" t="n"/>
      <c r="F450" s="19" t="n"/>
    </row>
    <row r="451">
      <c r="A451" s="18" t="n"/>
      <c r="F451" s="19" t="n"/>
    </row>
    <row r="452">
      <c r="A452" s="18" t="n"/>
      <c r="F452" s="19" t="n"/>
    </row>
    <row r="453">
      <c r="A453" s="18" t="n"/>
      <c r="F453" s="19" t="n"/>
    </row>
    <row r="454">
      <c r="A454" s="18" t="n"/>
      <c r="F454" s="19" t="n"/>
    </row>
    <row r="455">
      <c r="A455" s="18" t="n"/>
      <c r="F455" s="19" t="n"/>
    </row>
    <row r="456">
      <c r="A456" s="18" t="n"/>
      <c r="F456" s="19" t="n"/>
    </row>
    <row r="457">
      <c r="A457" s="18" t="n"/>
      <c r="F457" s="19" t="n"/>
    </row>
    <row r="458">
      <c r="A458" s="18" t="n"/>
      <c r="F458" s="19" t="n"/>
    </row>
    <row r="459">
      <c r="A459" s="18" t="n"/>
      <c r="F459" s="19" t="n"/>
    </row>
    <row r="460">
      <c r="A460" s="18" t="n"/>
      <c r="F460" s="19" t="n"/>
    </row>
    <row r="461">
      <c r="A461" s="18" t="n"/>
      <c r="F461" s="19" t="n"/>
    </row>
    <row r="462">
      <c r="A462" s="18" t="n"/>
      <c r="F462" s="19" t="n"/>
    </row>
    <row r="463">
      <c r="A463" s="18" t="n"/>
      <c r="F463" s="19" t="n"/>
    </row>
    <row r="464">
      <c r="A464" s="18" t="n"/>
      <c r="F464" s="19" t="n"/>
    </row>
    <row r="465">
      <c r="A465" s="18" t="n"/>
      <c r="F465" s="19" t="n"/>
    </row>
    <row r="466">
      <c r="A466" s="18" t="n"/>
      <c r="F466" s="19" t="n"/>
    </row>
    <row r="467">
      <c r="A467" s="18" t="n"/>
      <c r="F467" s="19" t="n"/>
    </row>
    <row r="468">
      <c r="A468" s="18" t="n"/>
      <c r="F468" s="19" t="n"/>
    </row>
    <row r="469">
      <c r="A469" s="18" t="n"/>
      <c r="F469" s="19" t="n"/>
    </row>
    <row r="470">
      <c r="A470" s="18" t="n"/>
      <c r="F470" s="19" t="n"/>
    </row>
    <row r="471">
      <c r="A471" s="18" t="n"/>
      <c r="F471" s="19" t="n"/>
    </row>
    <row r="472">
      <c r="A472" s="18" t="n"/>
      <c r="F472" s="19" t="n"/>
    </row>
    <row r="473">
      <c r="A473" s="18" t="n"/>
      <c r="F473" s="19" t="n"/>
    </row>
    <row r="474">
      <c r="A474" s="18" t="n"/>
      <c r="F474" s="19" t="n"/>
    </row>
    <row r="475">
      <c r="A475" s="18" t="n"/>
      <c r="F475" s="19" t="n"/>
    </row>
    <row r="476">
      <c r="A476" s="18" t="n"/>
      <c r="F476" s="19" t="n"/>
    </row>
    <row r="477">
      <c r="A477" s="18" t="n"/>
      <c r="F477" s="19" t="n"/>
    </row>
    <row r="478">
      <c r="A478" s="18" t="n"/>
      <c r="F478" s="19" t="n"/>
    </row>
    <row r="479">
      <c r="A479" s="18" t="n"/>
      <c r="F479" s="19" t="n"/>
    </row>
    <row r="480">
      <c r="A480" s="18" t="n"/>
      <c r="F480" s="19" t="n"/>
    </row>
    <row r="481">
      <c r="A481" s="18" t="n"/>
      <c r="F481" s="19" t="n"/>
    </row>
    <row r="482">
      <c r="A482" s="18" t="n"/>
      <c r="F482" s="19" t="n"/>
    </row>
    <row r="483">
      <c r="A483" s="18" t="n"/>
      <c r="F483" s="19" t="n"/>
    </row>
    <row r="484">
      <c r="A484" s="18" t="n"/>
      <c r="F484" s="19" t="n"/>
    </row>
    <row r="485">
      <c r="A485" s="18" t="n"/>
      <c r="F485" s="19" t="n"/>
    </row>
    <row r="486">
      <c r="A486" s="18" t="n"/>
      <c r="F486" s="19" t="n"/>
    </row>
    <row r="487">
      <c r="A487" s="18" t="n"/>
      <c r="F487" s="19" t="n"/>
    </row>
    <row r="488">
      <c r="A488" s="18" t="n"/>
      <c r="F488" s="19" t="n"/>
    </row>
    <row r="489">
      <c r="A489" s="18" t="n"/>
      <c r="F489" s="19" t="n"/>
    </row>
    <row r="490">
      <c r="A490" s="18" t="n"/>
      <c r="F490" s="19" t="n"/>
    </row>
    <row r="491">
      <c r="A491" s="18" t="n"/>
      <c r="F491" s="19" t="n"/>
    </row>
    <row r="492">
      <c r="A492" s="18" t="n"/>
      <c r="F492" s="19" t="n"/>
    </row>
    <row r="493">
      <c r="A493" s="18" t="n"/>
      <c r="F493" s="19" t="n"/>
    </row>
    <row r="494">
      <c r="A494" s="18" t="n"/>
      <c r="F494" s="19" t="n"/>
    </row>
    <row r="495">
      <c r="A495" s="18" t="n"/>
      <c r="F495" s="19" t="n"/>
    </row>
    <row r="496">
      <c r="A496" s="18" t="n"/>
      <c r="F496" s="19" t="n"/>
    </row>
    <row r="497">
      <c r="A497" s="18" t="n"/>
      <c r="F497" s="19" t="n"/>
    </row>
    <row r="498">
      <c r="A498" s="18" t="n"/>
      <c r="F498" s="19" t="n"/>
    </row>
    <row r="499">
      <c r="A499" s="18" t="n"/>
      <c r="F499" s="19" t="n"/>
    </row>
    <row r="500">
      <c r="A500" s="18" t="n"/>
      <c r="F500" s="19" t="n"/>
    </row>
    <row r="501">
      <c r="A501" s="18" t="n"/>
      <c r="F501" s="19" t="n"/>
    </row>
  </sheetData>
  <autoFilter ref="A1:G501"/>
  <dataValidations count="4">
    <dataValidation sqref="A2:A501" showDropDown="0" showInputMessage="0" showErrorMessage="1" allowBlank="1" errorTitle="Date needed" error="Enter a date, e.g. 3/15/2026." type="date" operator="greaterThan">
      <formula1>36526</formula1>
    </dataValidation>
    <dataValidation sqref="C2:C501" showDropDown="0" showInputMessage="0" showErrorMessage="1" allowBlank="1" errorTitle="Pick from the list" error="Pick a value from the list (edit the Lists sheet to change it)." type="list">
      <formula1>=Lists!$C$2:$C$31</formula1>
    </dataValidation>
    <dataValidation sqref="E2:E501" showDropDown="0" showInputMessage="0" showErrorMessage="1" allowBlank="1" errorTitle="Pick from the list" error="Pick a value from the list (edit the Lists sheet to change it)." type="list">
      <formula1>=Lists!$B$2:$B$31</formula1>
    </dataValidation>
    <dataValidation sqref="F2:F501" showDropDown="0" showInputMessage="0" showErrorMessage="1" allowBlank="1" errorTitle="Amount needed" error="Enter an amount of 0 or more, without a $ sign."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0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8" customWidth="1" min="3" max="3"/>
    <col width="20" customWidth="1" min="4" max="4"/>
    <col width="10" customWidth="1" min="5" max="5"/>
    <col width="10" customWidth="1" min="6" max="6"/>
    <col width="13" customWidth="1" min="7" max="7"/>
    <col width="13" customWidth="1" min="8" max="8"/>
    <col width="12" customWidth="1" min="9" max="9"/>
    <col width="13" customWidth="1" min="10" max="10"/>
    <col width="30" customWidth="1" min="11" max="11"/>
  </cols>
  <sheetData>
    <row r="1" ht="30" customHeight="1">
      <c r="A1" s="17" t="inlineStr">
        <is>
          <t>Date</t>
        </is>
      </c>
      <c r="B1" s="17" t="inlineStr">
        <is>
          <t>Supplier</t>
        </is>
      </c>
      <c r="C1" s="17" t="inlineStr">
        <is>
          <t>Product</t>
        </is>
      </c>
      <c r="D1" s="17" t="inlineStr">
        <is>
          <t>Category</t>
        </is>
      </c>
      <c r="E1" s="17" t="inlineStr">
        <is>
          <t>Quantity</t>
        </is>
      </c>
      <c r="F1" s="17" t="inlineStr">
        <is>
          <t>Unit</t>
        </is>
      </c>
      <c r="G1" s="17" t="inlineStr">
        <is>
          <t>Cost per Unit</t>
        </is>
      </c>
      <c r="H1" s="17" t="inlineStr">
        <is>
          <t>Total Cost</t>
        </is>
      </c>
      <c r="I1" s="17" t="inlineStr">
        <is>
          <t>Jobs per Unit</t>
        </is>
      </c>
      <c r="J1" s="17" t="inlineStr">
        <is>
          <t>Cost per Job</t>
        </is>
      </c>
      <c r="K1" s="17" t="inlineStr">
        <is>
          <t>Notes</t>
        </is>
      </c>
    </row>
    <row r="2">
      <c r="A2" s="18" t="n"/>
      <c r="G2" s="19" t="n"/>
      <c r="H2" s="20">
        <f>IF(COUNT(E2,G2)&lt;2,"",ROUND(E2*G2,2))</f>
        <v/>
      </c>
      <c r="J2" s="20">
        <f>IF(AND(ISNUMBER(G2),ISNUMBER(I2)),IF(I2&gt;0,ROUND(G2/I2,2),""),"")</f>
        <v/>
      </c>
    </row>
    <row r="3">
      <c r="A3" s="18" t="n"/>
      <c r="G3" s="19" t="n"/>
      <c r="H3" s="20">
        <f>IF(COUNT(E3,G3)&lt;2,"",ROUND(E3*G3,2))</f>
        <v/>
      </c>
      <c r="J3" s="20">
        <f>IF(AND(ISNUMBER(G3),ISNUMBER(I3)),IF(I3&gt;0,ROUND(G3/I3,2),""),"")</f>
        <v/>
      </c>
    </row>
    <row r="4">
      <c r="A4" s="18" t="n"/>
      <c r="G4" s="19" t="n"/>
      <c r="H4" s="20">
        <f>IF(COUNT(E4,G4)&lt;2,"",ROUND(E4*G4,2))</f>
        <v/>
      </c>
      <c r="J4" s="20">
        <f>IF(AND(ISNUMBER(G4),ISNUMBER(I4)),IF(I4&gt;0,ROUND(G4/I4,2),""),"")</f>
        <v/>
      </c>
    </row>
    <row r="5">
      <c r="A5" s="18" t="n"/>
      <c r="G5" s="19" t="n"/>
      <c r="H5" s="20">
        <f>IF(COUNT(E5,G5)&lt;2,"",ROUND(E5*G5,2))</f>
        <v/>
      </c>
      <c r="J5" s="20">
        <f>IF(AND(ISNUMBER(G5),ISNUMBER(I5)),IF(I5&gt;0,ROUND(G5/I5,2),""),"")</f>
        <v/>
      </c>
    </row>
    <row r="6">
      <c r="A6" s="18" t="n"/>
      <c r="G6" s="19" t="n"/>
      <c r="H6" s="20">
        <f>IF(COUNT(E6,G6)&lt;2,"",ROUND(E6*G6,2))</f>
        <v/>
      </c>
      <c r="J6" s="20">
        <f>IF(AND(ISNUMBER(G6),ISNUMBER(I6)),IF(I6&gt;0,ROUND(G6/I6,2),""),"")</f>
        <v/>
      </c>
    </row>
    <row r="7">
      <c r="A7" s="18" t="n"/>
      <c r="G7" s="19" t="n"/>
      <c r="H7" s="20">
        <f>IF(COUNT(E7,G7)&lt;2,"",ROUND(E7*G7,2))</f>
        <v/>
      </c>
      <c r="J7" s="20">
        <f>IF(AND(ISNUMBER(G7),ISNUMBER(I7)),IF(I7&gt;0,ROUND(G7/I7,2),""),"")</f>
        <v/>
      </c>
    </row>
    <row r="8">
      <c r="A8" s="18" t="n"/>
      <c r="G8" s="19" t="n"/>
      <c r="H8" s="20">
        <f>IF(COUNT(E8,G8)&lt;2,"",ROUND(E8*G8,2))</f>
        <v/>
      </c>
      <c r="J8" s="20">
        <f>IF(AND(ISNUMBER(G8),ISNUMBER(I8)),IF(I8&gt;0,ROUND(G8/I8,2),""),"")</f>
        <v/>
      </c>
    </row>
    <row r="9">
      <c r="A9" s="18" t="n"/>
      <c r="G9" s="19" t="n"/>
      <c r="H9" s="20">
        <f>IF(COUNT(E9,G9)&lt;2,"",ROUND(E9*G9,2))</f>
        <v/>
      </c>
      <c r="J9" s="20">
        <f>IF(AND(ISNUMBER(G9),ISNUMBER(I9)),IF(I9&gt;0,ROUND(G9/I9,2),""),"")</f>
        <v/>
      </c>
    </row>
    <row r="10">
      <c r="A10" s="18" t="n"/>
      <c r="G10" s="19" t="n"/>
      <c r="H10" s="20">
        <f>IF(COUNT(E10,G10)&lt;2,"",ROUND(E10*G10,2))</f>
        <v/>
      </c>
      <c r="J10" s="20">
        <f>IF(AND(ISNUMBER(G10),ISNUMBER(I10)),IF(I10&gt;0,ROUND(G10/I10,2),""),"")</f>
        <v/>
      </c>
    </row>
    <row r="11">
      <c r="A11" s="18" t="n"/>
      <c r="G11" s="19" t="n"/>
      <c r="H11" s="20">
        <f>IF(COUNT(E11,G11)&lt;2,"",ROUND(E11*G11,2))</f>
        <v/>
      </c>
      <c r="J11" s="20">
        <f>IF(AND(ISNUMBER(G11),ISNUMBER(I11)),IF(I11&gt;0,ROUND(G11/I11,2),""),"")</f>
        <v/>
      </c>
    </row>
    <row r="12">
      <c r="A12" s="18" t="n"/>
      <c r="G12" s="19" t="n"/>
      <c r="H12" s="20">
        <f>IF(COUNT(E12,G12)&lt;2,"",ROUND(E12*G12,2))</f>
        <v/>
      </c>
      <c r="J12" s="20">
        <f>IF(AND(ISNUMBER(G12),ISNUMBER(I12)),IF(I12&gt;0,ROUND(G12/I12,2),""),"")</f>
        <v/>
      </c>
    </row>
    <row r="13">
      <c r="A13" s="18" t="n"/>
      <c r="G13" s="19" t="n"/>
      <c r="H13" s="20">
        <f>IF(COUNT(E13,G13)&lt;2,"",ROUND(E13*G13,2))</f>
        <v/>
      </c>
      <c r="J13" s="20">
        <f>IF(AND(ISNUMBER(G13),ISNUMBER(I13)),IF(I13&gt;0,ROUND(G13/I13,2),""),"")</f>
        <v/>
      </c>
    </row>
    <row r="14">
      <c r="A14" s="18" t="n"/>
      <c r="G14" s="19" t="n"/>
      <c r="H14" s="20">
        <f>IF(COUNT(E14,G14)&lt;2,"",ROUND(E14*G14,2))</f>
        <v/>
      </c>
      <c r="J14" s="20">
        <f>IF(AND(ISNUMBER(G14),ISNUMBER(I14)),IF(I14&gt;0,ROUND(G14/I14,2),""),"")</f>
        <v/>
      </c>
    </row>
    <row r="15">
      <c r="A15" s="18" t="n"/>
      <c r="G15" s="19" t="n"/>
      <c r="H15" s="20">
        <f>IF(COUNT(E15,G15)&lt;2,"",ROUND(E15*G15,2))</f>
        <v/>
      </c>
      <c r="J15" s="20">
        <f>IF(AND(ISNUMBER(G15),ISNUMBER(I15)),IF(I15&gt;0,ROUND(G15/I15,2),""),"")</f>
        <v/>
      </c>
    </row>
    <row r="16">
      <c r="A16" s="18" t="n"/>
      <c r="G16" s="19" t="n"/>
      <c r="H16" s="20">
        <f>IF(COUNT(E16,G16)&lt;2,"",ROUND(E16*G16,2))</f>
        <v/>
      </c>
      <c r="J16" s="20">
        <f>IF(AND(ISNUMBER(G16),ISNUMBER(I16)),IF(I16&gt;0,ROUND(G16/I16,2),""),"")</f>
        <v/>
      </c>
    </row>
    <row r="17">
      <c r="A17" s="18" t="n"/>
      <c r="G17" s="19" t="n"/>
      <c r="H17" s="20">
        <f>IF(COUNT(E17,G17)&lt;2,"",ROUND(E17*G17,2))</f>
        <v/>
      </c>
      <c r="J17" s="20">
        <f>IF(AND(ISNUMBER(G17),ISNUMBER(I17)),IF(I17&gt;0,ROUND(G17/I17,2),""),"")</f>
        <v/>
      </c>
    </row>
    <row r="18">
      <c r="A18" s="18" t="n"/>
      <c r="G18" s="19" t="n"/>
      <c r="H18" s="20">
        <f>IF(COUNT(E18,G18)&lt;2,"",ROUND(E18*G18,2))</f>
        <v/>
      </c>
      <c r="J18" s="20">
        <f>IF(AND(ISNUMBER(G18),ISNUMBER(I18)),IF(I18&gt;0,ROUND(G18/I18,2),""),"")</f>
        <v/>
      </c>
    </row>
    <row r="19">
      <c r="A19" s="18" t="n"/>
      <c r="G19" s="19" t="n"/>
      <c r="H19" s="20">
        <f>IF(COUNT(E19,G19)&lt;2,"",ROUND(E19*G19,2))</f>
        <v/>
      </c>
      <c r="J19" s="20">
        <f>IF(AND(ISNUMBER(G19),ISNUMBER(I19)),IF(I19&gt;0,ROUND(G19/I19,2),""),"")</f>
        <v/>
      </c>
    </row>
    <row r="20">
      <c r="A20" s="18" t="n"/>
      <c r="G20" s="19" t="n"/>
      <c r="H20" s="20">
        <f>IF(COUNT(E20,G20)&lt;2,"",ROUND(E20*G20,2))</f>
        <v/>
      </c>
      <c r="J20" s="20">
        <f>IF(AND(ISNUMBER(G20),ISNUMBER(I20)),IF(I20&gt;0,ROUND(G20/I20,2),""),"")</f>
        <v/>
      </c>
    </row>
    <row r="21">
      <c r="A21" s="18" t="n"/>
      <c r="G21" s="19" t="n"/>
      <c r="H21" s="20">
        <f>IF(COUNT(E21,G21)&lt;2,"",ROUND(E21*G21,2))</f>
        <v/>
      </c>
      <c r="J21" s="20">
        <f>IF(AND(ISNUMBER(G21),ISNUMBER(I21)),IF(I21&gt;0,ROUND(G21/I21,2),""),"")</f>
        <v/>
      </c>
    </row>
    <row r="22">
      <c r="A22" s="18" t="n"/>
      <c r="G22" s="19" t="n"/>
      <c r="H22" s="20">
        <f>IF(COUNT(E22,G22)&lt;2,"",ROUND(E22*G22,2))</f>
        <v/>
      </c>
      <c r="J22" s="20">
        <f>IF(AND(ISNUMBER(G22),ISNUMBER(I22)),IF(I22&gt;0,ROUND(G22/I22,2),""),"")</f>
        <v/>
      </c>
    </row>
    <row r="23">
      <c r="A23" s="18" t="n"/>
      <c r="G23" s="19" t="n"/>
      <c r="H23" s="20">
        <f>IF(COUNT(E23,G23)&lt;2,"",ROUND(E23*G23,2))</f>
        <v/>
      </c>
      <c r="J23" s="20">
        <f>IF(AND(ISNUMBER(G23),ISNUMBER(I23)),IF(I23&gt;0,ROUND(G23/I23,2),""),"")</f>
        <v/>
      </c>
    </row>
    <row r="24">
      <c r="A24" s="18" t="n"/>
      <c r="G24" s="19" t="n"/>
      <c r="H24" s="20">
        <f>IF(COUNT(E24,G24)&lt;2,"",ROUND(E24*G24,2))</f>
        <v/>
      </c>
      <c r="J24" s="20">
        <f>IF(AND(ISNUMBER(G24),ISNUMBER(I24)),IF(I24&gt;0,ROUND(G24/I24,2),""),"")</f>
        <v/>
      </c>
    </row>
    <row r="25">
      <c r="A25" s="18" t="n"/>
      <c r="G25" s="19" t="n"/>
      <c r="H25" s="20">
        <f>IF(COUNT(E25,G25)&lt;2,"",ROUND(E25*G25,2))</f>
        <v/>
      </c>
      <c r="J25" s="20">
        <f>IF(AND(ISNUMBER(G25),ISNUMBER(I25)),IF(I25&gt;0,ROUND(G25/I25,2),""),"")</f>
        <v/>
      </c>
    </row>
    <row r="26">
      <c r="A26" s="18" t="n"/>
      <c r="G26" s="19" t="n"/>
      <c r="H26" s="20">
        <f>IF(COUNT(E26,G26)&lt;2,"",ROUND(E26*G26,2))</f>
        <v/>
      </c>
      <c r="J26" s="20">
        <f>IF(AND(ISNUMBER(G26),ISNUMBER(I26)),IF(I26&gt;0,ROUND(G26/I26,2),""),"")</f>
        <v/>
      </c>
    </row>
    <row r="27">
      <c r="A27" s="18" t="n"/>
      <c r="G27" s="19" t="n"/>
      <c r="H27" s="20">
        <f>IF(COUNT(E27,G27)&lt;2,"",ROUND(E27*G27,2))</f>
        <v/>
      </c>
      <c r="J27" s="20">
        <f>IF(AND(ISNUMBER(G27),ISNUMBER(I27)),IF(I27&gt;0,ROUND(G27/I27,2),""),"")</f>
        <v/>
      </c>
    </row>
    <row r="28">
      <c r="A28" s="18" t="n"/>
      <c r="G28" s="19" t="n"/>
      <c r="H28" s="20">
        <f>IF(COUNT(E28,G28)&lt;2,"",ROUND(E28*G28,2))</f>
        <v/>
      </c>
      <c r="J28" s="20">
        <f>IF(AND(ISNUMBER(G28),ISNUMBER(I28)),IF(I28&gt;0,ROUND(G28/I28,2),""),"")</f>
        <v/>
      </c>
    </row>
    <row r="29">
      <c r="A29" s="18" t="n"/>
      <c r="G29" s="19" t="n"/>
      <c r="H29" s="20">
        <f>IF(COUNT(E29,G29)&lt;2,"",ROUND(E29*G29,2))</f>
        <v/>
      </c>
      <c r="J29" s="20">
        <f>IF(AND(ISNUMBER(G29),ISNUMBER(I29)),IF(I29&gt;0,ROUND(G29/I29,2),""),"")</f>
        <v/>
      </c>
    </row>
    <row r="30">
      <c r="A30" s="18" t="n"/>
      <c r="G30" s="19" t="n"/>
      <c r="H30" s="20">
        <f>IF(COUNT(E30,G30)&lt;2,"",ROUND(E30*G30,2))</f>
        <v/>
      </c>
      <c r="J30" s="20">
        <f>IF(AND(ISNUMBER(G30),ISNUMBER(I30)),IF(I30&gt;0,ROUND(G30/I30,2),""),"")</f>
        <v/>
      </c>
    </row>
    <row r="31">
      <c r="A31" s="18" t="n"/>
      <c r="G31" s="19" t="n"/>
      <c r="H31" s="20">
        <f>IF(COUNT(E31,G31)&lt;2,"",ROUND(E31*G31,2))</f>
        <v/>
      </c>
      <c r="J31" s="20">
        <f>IF(AND(ISNUMBER(G31),ISNUMBER(I31)),IF(I31&gt;0,ROUND(G31/I31,2),""),"")</f>
        <v/>
      </c>
    </row>
    <row r="32">
      <c r="A32" s="18" t="n"/>
      <c r="G32" s="19" t="n"/>
      <c r="H32" s="20">
        <f>IF(COUNT(E32,G32)&lt;2,"",ROUND(E32*G32,2))</f>
        <v/>
      </c>
      <c r="J32" s="20">
        <f>IF(AND(ISNUMBER(G32),ISNUMBER(I32)),IF(I32&gt;0,ROUND(G32/I32,2),""),"")</f>
        <v/>
      </c>
    </row>
    <row r="33">
      <c r="A33" s="18" t="n"/>
      <c r="G33" s="19" t="n"/>
      <c r="H33" s="20">
        <f>IF(COUNT(E33,G33)&lt;2,"",ROUND(E33*G33,2))</f>
        <v/>
      </c>
      <c r="J33" s="20">
        <f>IF(AND(ISNUMBER(G33),ISNUMBER(I33)),IF(I33&gt;0,ROUND(G33/I33,2),""),"")</f>
        <v/>
      </c>
    </row>
    <row r="34">
      <c r="A34" s="18" t="n"/>
      <c r="G34" s="19" t="n"/>
      <c r="H34" s="20">
        <f>IF(COUNT(E34,G34)&lt;2,"",ROUND(E34*G34,2))</f>
        <v/>
      </c>
      <c r="J34" s="20">
        <f>IF(AND(ISNUMBER(G34),ISNUMBER(I34)),IF(I34&gt;0,ROUND(G34/I34,2),""),"")</f>
        <v/>
      </c>
    </row>
    <row r="35">
      <c r="A35" s="18" t="n"/>
      <c r="G35" s="19" t="n"/>
      <c r="H35" s="20">
        <f>IF(COUNT(E35,G35)&lt;2,"",ROUND(E35*G35,2))</f>
        <v/>
      </c>
      <c r="J35" s="20">
        <f>IF(AND(ISNUMBER(G35),ISNUMBER(I35)),IF(I35&gt;0,ROUND(G35/I35,2),""),"")</f>
        <v/>
      </c>
    </row>
    <row r="36">
      <c r="A36" s="18" t="n"/>
      <c r="G36" s="19" t="n"/>
      <c r="H36" s="20">
        <f>IF(COUNT(E36,G36)&lt;2,"",ROUND(E36*G36,2))</f>
        <v/>
      </c>
      <c r="J36" s="20">
        <f>IF(AND(ISNUMBER(G36),ISNUMBER(I36)),IF(I36&gt;0,ROUND(G36/I36,2),""),"")</f>
        <v/>
      </c>
    </row>
    <row r="37">
      <c r="A37" s="18" t="n"/>
      <c r="G37" s="19" t="n"/>
      <c r="H37" s="20">
        <f>IF(COUNT(E37,G37)&lt;2,"",ROUND(E37*G37,2))</f>
        <v/>
      </c>
      <c r="J37" s="20">
        <f>IF(AND(ISNUMBER(G37),ISNUMBER(I37)),IF(I37&gt;0,ROUND(G37/I37,2),""),"")</f>
        <v/>
      </c>
    </row>
    <row r="38">
      <c r="A38" s="18" t="n"/>
      <c r="G38" s="19" t="n"/>
      <c r="H38" s="20">
        <f>IF(COUNT(E38,G38)&lt;2,"",ROUND(E38*G38,2))</f>
        <v/>
      </c>
      <c r="J38" s="20">
        <f>IF(AND(ISNUMBER(G38),ISNUMBER(I38)),IF(I38&gt;0,ROUND(G38/I38,2),""),"")</f>
        <v/>
      </c>
    </row>
    <row r="39">
      <c r="A39" s="18" t="n"/>
      <c r="G39" s="19" t="n"/>
      <c r="H39" s="20">
        <f>IF(COUNT(E39,G39)&lt;2,"",ROUND(E39*G39,2))</f>
        <v/>
      </c>
      <c r="J39" s="20">
        <f>IF(AND(ISNUMBER(G39),ISNUMBER(I39)),IF(I39&gt;0,ROUND(G39/I39,2),""),"")</f>
        <v/>
      </c>
    </row>
    <row r="40">
      <c r="A40" s="18" t="n"/>
      <c r="G40" s="19" t="n"/>
      <c r="H40" s="20">
        <f>IF(COUNT(E40,G40)&lt;2,"",ROUND(E40*G40,2))</f>
        <v/>
      </c>
      <c r="J40" s="20">
        <f>IF(AND(ISNUMBER(G40),ISNUMBER(I40)),IF(I40&gt;0,ROUND(G40/I40,2),""),"")</f>
        <v/>
      </c>
    </row>
    <row r="41">
      <c r="A41" s="18" t="n"/>
      <c r="G41" s="19" t="n"/>
      <c r="H41" s="20">
        <f>IF(COUNT(E41,G41)&lt;2,"",ROUND(E41*G41,2))</f>
        <v/>
      </c>
      <c r="J41" s="20">
        <f>IF(AND(ISNUMBER(G41),ISNUMBER(I41)),IF(I41&gt;0,ROUND(G41/I41,2),""),"")</f>
        <v/>
      </c>
    </row>
    <row r="42">
      <c r="A42" s="18" t="n"/>
      <c r="G42" s="19" t="n"/>
      <c r="H42" s="20">
        <f>IF(COUNT(E42,G42)&lt;2,"",ROUND(E42*G42,2))</f>
        <v/>
      </c>
      <c r="J42" s="20">
        <f>IF(AND(ISNUMBER(G42),ISNUMBER(I42)),IF(I42&gt;0,ROUND(G42/I42,2),""),"")</f>
        <v/>
      </c>
    </row>
    <row r="43">
      <c r="A43" s="18" t="n"/>
      <c r="G43" s="19" t="n"/>
      <c r="H43" s="20">
        <f>IF(COUNT(E43,G43)&lt;2,"",ROUND(E43*G43,2))</f>
        <v/>
      </c>
      <c r="J43" s="20">
        <f>IF(AND(ISNUMBER(G43),ISNUMBER(I43)),IF(I43&gt;0,ROUND(G43/I43,2),""),"")</f>
        <v/>
      </c>
    </row>
    <row r="44">
      <c r="A44" s="18" t="n"/>
      <c r="G44" s="19" t="n"/>
      <c r="H44" s="20">
        <f>IF(COUNT(E44,G44)&lt;2,"",ROUND(E44*G44,2))</f>
        <v/>
      </c>
      <c r="J44" s="20">
        <f>IF(AND(ISNUMBER(G44),ISNUMBER(I44)),IF(I44&gt;0,ROUND(G44/I44,2),""),"")</f>
        <v/>
      </c>
    </row>
    <row r="45">
      <c r="A45" s="18" t="n"/>
      <c r="G45" s="19" t="n"/>
      <c r="H45" s="20">
        <f>IF(COUNT(E45,G45)&lt;2,"",ROUND(E45*G45,2))</f>
        <v/>
      </c>
      <c r="J45" s="20">
        <f>IF(AND(ISNUMBER(G45),ISNUMBER(I45)),IF(I45&gt;0,ROUND(G45/I45,2),""),"")</f>
        <v/>
      </c>
    </row>
    <row r="46">
      <c r="A46" s="18" t="n"/>
      <c r="G46" s="19" t="n"/>
      <c r="H46" s="20">
        <f>IF(COUNT(E46,G46)&lt;2,"",ROUND(E46*G46,2))</f>
        <v/>
      </c>
      <c r="J46" s="20">
        <f>IF(AND(ISNUMBER(G46),ISNUMBER(I46)),IF(I46&gt;0,ROUND(G46/I46,2),""),"")</f>
        <v/>
      </c>
    </row>
    <row r="47">
      <c r="A47" s="18" t="n"/>
      <c r="G47" s="19" t="n"/>
      <c r="H47" s="20">
        <f>IF(COUNT(E47,G47)&lt;2,"",ROUND(E47*G47,2))</f>
        <v/>
      </c>
      <c r="J47" s="20">
        <f>IF(AND(ISNUMBER(G47),ISNUMBER(I47)),IF(I47&gt;0,ROUND(G47/I47,2),""),"")</f>
        <v/>
      </c>
    </row>
    <row r="48">
      <c r="A48" s="18" t="n"/>
      <c r="G48" s="19" t="n"/>
      <c r="H48" s="20">
        <f>IF(COUNT(E48,G48)&lt;2,"",ROUND(E48*G48,2))</f>
        <v/>
      </c>
      <c r="J48" s="20">
        <f>IF(AND(ISNUMBER(G48),ISNUMBER(I48)),IF(I48&gt;0,ROUND(G48/I48,2),""),"")</f>
        <v/>
      </c>
    </row>
    <row r="49">
      <c r="A49" s="18" t="n"/>
      <c r="G49" s="19" t="n"/>
      <c r="H49" s="20">
        <f>IF(COUNT(E49,G49)&lt;2,"",ROUND(E49*G49,2))</f>
        <v/>
      </c>
      <c r="J49" s="20">
        <f>IF(AND(ISNUMBER(G49),ISNUMBER(I49)),IF(I49&gt;0,ROUND(G49/I49,2),""),"")</f>
        <v/>
      </c>
    </row>
    <row r="50">
      <c r="A50" s="18" t="n"/>
      <c r="G50" s="19" t="n"/>
      <c r="H50" s="20">
        <f>IF(COUNT(E50,G50)&lt;2,"",ROUND(E50*G50,2))</f>
        <v/>
      </c>
      <c r="J50" s="20">
        <f>IF(AND(ISNUMBER(G50),ISNUMBER(I50)),IF(I50&gt;0,ROUND(G50/I50,2),""),"")</f>
        <v/>
      </c>
    </row>
    <row r="51">
      <c r="A51" s="18" t="n"/>
      <c r="G51" s="19" t="n"/>
      <c r="H51" s="20">
        <f>IF(COUNT(E51,G51)&lt;2,"",ROUND(E51*G51,2))</f>
        <v/>
      </c>
      <c r="J51" s="20">
        <f>IF(AND(ISNUMBER(G51),ISNUMBER(I51)),IF(I51&gt;0,ROUND(G51/I51,2),""),"")</f>
        <v/>
      </c>
    </row>
    <row r="52">
      <c r="A52" s="18" t="n"/>
      <c r="G52" s="19" t="n"/>
      <c r="H52" s="20">
        <f>IF(COUNT(E52,G52)&lt;2,"",ROUND(E52*G52,2))</f>
        <v/>
      </c>
      <c r="J52" s="20">
        <f>IF(AND(ISNUMBER(G52),ISNUMBER(I52)),IF(I52&gt;0,ROUND(G52/I52,2),""),"")</f>
        <v/>
      </c>
    </row>
    <row r="53">
      <c r="A53" s="18" t="n"/>
      <c r="G53" s="19" t="n"/>
      <c r="H53" s="20">
        <f>IF(COUNT(E53,G53)&lt;2,"",ROUND(E53*G53,2))</f>
        <v/>
      </c>
      <c r="J53" s="20">
        <f>IF(AND(ISNUMBER(G53),ISNUMBER(I53)),IF(I53&gt;0,ROUND(G53/I53,2),""),"")</f>
        <v/>
      </c>
    </row>
    <row r="54">
      <c r="A54" s="18" t="n"/>
      <c r="G54" s="19" t="n"/>
      <c r="H54" s="20">
        <f>IF(COUNT(E54,G54)&lt;2,"",ROUND(E54*G54,2))</f>
        <v/>
      </c>
      <c r="J54" s="20">
        <f>IF(AND(ISNUMBER(G54),ISNUMBER(I54)),IF(I54&gt;0,ROUND(G54/I54,2),""),"")</f>
        <v/>
      </c>
    </row>
    <row r="55">
      <c r="A55" s="18" t="n"/>
      <c r="G55" s="19" t="n"/>
      <c r="H55" s="20">
        <f>IF(COUNT(E55,G55)&lt;2,"",ROUND(E55*G55,2))</f>
        <v/>
      </c>
      <c r="J55" s="20">
        <f>IF(AND(ISNUMBER(G55),ISNUMBER(I55)),IF(I55&gt;0,ROUND(G55/I55,2),""),"")</f>
        <v/>
      </c>
    </row>
    <row r="56">
      <c r="A56" s="18" t="n"/>
      <c r="G56" s="19" t="n"/>
      <c r="H56" s="20">
        <f>IF(COUNT(E56,G56)&lt;2,"",ROUND(E56*G56,2))</f>
        <v/>
      </c>
      <c r="J56" s="20">
        <f>IF(AND(ISNUMBER(G56),ISNUMBER(I56)),IF(I56&gt;0,ROUND(G56/I56,2),""),"")</f>
        <v/>
      </c>
    </row>
    <row r="57">
      <c r="A57" s="18" t="n"/>
      <c r="G57" s="19" t="n"/>
      <c r="H57" s="20">
        <f>IF(COUNT(E57,G57)&lt;2,"",ROUND(E57*G57,2))</f>
        <v/>
      </c>
      <c r="J57" s="20">
        <f>IF(AND(ISNUMBER(G57),ISNUMBER(I57)),IF(I57&gt;0,ROUND(G57/I57,2),""),"")</f>
        <v/>
      </c>
    </row>
    <row r="58">
      <c r="A58" s="18" t="n"/>
      <c r="G58" s="19" t="n"/>
      <c r="H58" s="20">
        <f>IF(COUNT(E58,G58)&lt;2,"",ROUND(E58*G58,2))</f>
        <v/>
      </c>
      <c r="J58" s="20">
        <f>IF(AND(ISNUMBER(G58),ISNUMBER(I58)),IF(I58&gt;0,ROUND(G58/I58,2),""),"")</f>
        <v/>
      </c>
    </row>
    <row r="59">
      <c r="A59" s="18" t="n"/>
      <c r="G59" s="19" t="n"/>
      <c r="H59" s="20">
        <f>IF(COUNT(E59,G59)&lt;2,"",ROUND(E59*G59,2))</f>
        <v/>
      </c>
      <c r="J59" s="20">
        <f>IF(AND(ISNUMBER(G59),ISNUMBER(I59)),IF(I59&gt;0,ROUND(G59/I59,2),""),"")</f>
        <v/>
      </c>
    </row>
    <row r="60">
      <c r="A60" s="18" t="n"/>
      <c r="G60" s="19" t="n"/>
      <c r="H60" s="20">
        <f>IF(COUNT(E60,G60)&lt;2,"",ROUND(E60*G60,2))</f>
        <v/>
      </c>
      <c r="J60" s="20">
        <f>IF(AND(ISNUMBER(G60),ISNUMBER(I60)),IF(I60&gt;0,ROUND(G60/I60,2),""),"")</f>
        <v/>
      </c>
    </row>
    <row r="61">
      <c r="A61" s="18" t="n"/>
      <c r="G61" s="19" t="n"/>
      <c r="H61" s="20">
        <f>IF(COUNT(E61,G61)&lt;2,"",ROUND(E61*G61,2))</f>
        <v/>
      </c>
      <c r="J61" s="20">
        <f>IF(AND(ISNUMBER(G61),ISNUMBER(I61)),IF(I61&gt;0,ROUND(G61/I61,2),""),"")</f>
        <v/>
      </c>
    </row>
    <row r="62">
      <c r="A62" s="18" t="n"/>
      <c r="G62" s="19" t="n"/>
      <c r="H62" s="20">
        <f>IF(COUNT(E62,G62)&lt;2,"",ROUND(E62*G62,2))</f>
        <v/>
      </c>
      <c r="J62" s="20">
        <f>IF(AND(ISNUMBER(G62),ISNUMBER(I62)),IF(I62&gt;0,ROUND(G62/I62,2),""),"")</f>
        <v/>
      </c>
    </row>
    <row r="63">
      <c r="A63" s="18" t="n"/>
      <c r="G63" s="19" t="n"/>
      <c r="H63" s="20">
        <f>IF(COUNT(E63,G63)&lt;2,"",ROUND(E63*G63,2))</f>
        <v/>
      </c>
      <c r="J63" s="20">
        <f>IF(AND(ISNUMBER(G63),ISNUMBER(I63)),IF(I63&gt;0,ROUND(G63/I63,2),""),"")</f>
        <v/>
      </c>
    </row>
    <row r="64">
      <c r="A64" s="18" t="n"/>
      <c r="G64" s="19" t="n"/>
      <c r="H64" s="20">
        <f>IF(COUNT(E64,G64)&lt;2,"",ROUND(E64*G64,2))</f>
        <v/>
      </c>
      <c r="J64" s="20">
        <f>IF(AND(ISNUMBER(G64),ISNUMBER(I64)),IF(I64&gt;0,ROUND(G64/I64,2),""),"")</f>
        <v/>
      </c>
    </row>
    <row r="65">
      <c r="A65" s="18" t="n"/>
      <c r="G65" s="19" t="n"/>
      <c r="H65" s="20">
        <f>IF(COUNT(E65,G65)&lt;2,"",ROUND(E65*G65,2))</f>
        <v/>
      </c>
      <c r="J65" s="20">
        <f>IF(AND(ISNUMBER(G65),ISNUMBER(I65)),IF(I65&gt;0,ROUND(G65/I65,2),""),"")</f>
        <v/>
      </c>
    </row>
    <row r="66">
      <c r="A66" s="18" t="n"/>
      <c r="G66" s="19" t="n"/>
      <c r="H66" s="20">
        <f>IF(COUNT(E66,G66)&lt;2,"",ROUND(E66*G66,2))</f>
        <v/>
      </c>
      <c r="J66" s="20">
        <f>IF(AND(ISNUMBER(G66),ISNUMBER(I66)),IF(I66&gt;0,ROUND(G66/I66,2),""),"")</f>
        <v/>
      </c>
    </row>
    <row r="67">
      <c r="A67" s="18" t="n"/>
      <c r="G67" s="19" t="n"/>
      <c r="H67" s="20">
        <f>IF(COUNT(E67,G67)&lt;2,"",ROUND(E67*G67,2))</f>
        <v/>
      </c>
      <c r="J67" s="20">
        <f>IF(AND(ISNUMBER(G67),ISNUMBER(I67)),IF(I67&gt;0,ROUND(G67/I67,2),""),"")</f>
        <v/>
      </c>
    </row>
    <row r="68">
      <c r="A68" s="18" t="n"/>
      <c r="G68" s="19" t="n"/>
      <c r="H68" s="20">
        <f>IF(COUNT(E68,G68)&lt;2,"",ROUND(E68*G68,2))</f>
        <v/>
      </c>
      <c r="J68" s="20">
        <f>IF(AND(ISNUMBER(G68),ISNUMBER(I68)),IF(I68&gt;0,ROUND(G68/I68,2),""),"")</f>
        <v/>
      </c>
    </row>
    <row r="69">
      <c r="A69" s="18" t="n"/>
      <c r="G69" s="19" t="n"/>
      <c r="H69" s="20">
        <f>IF(COUNT(E69,G69)&lt;2,"",ROUND(E69*G69,2))</f>
        <v/>
      </c>
      <c r="J69" s="20">
        <f>IF(AND(ISNUMBER(G69),ISNUMBER(I69)),IF(I69&gt;0,ROUND(G69/I69,2),""),"")</f>
        <v/>
      </c>
    </row>
    <row r="70">
      <c r="A70" s="18" t="n"/>
      <c r="G70" s="19" t="n"/>
      <c r="H70" s="20">
        <f>IF(COUNT(E70,G70)&lt;2,"",ROUND(E70*G70,2))</f>
        <v/>
      </c>
      <c r="J70" s="20">
        <f>IF(AND(ISNUMBER(G70),ISNUMBER(I70)),IF(I70&gt;0,ROUND(G70/I70,2),""),"")</f>
        <v/>
      </c>
    </row>
    <row r="71">
      <c r="A71" s="18" t="n"/>
      <c r="G71" s="19" t="n"/>
      <c r="H71" s="20">
        <f>IF(COUNT(E71,G71)&lt;2,"",ROUND(E71*G71,2))</f>
        <v/>
      </c>
      <c r="J71" s="20">
        <f>IF(AND(ISNUMBER(G71),ISNUMBER(I71)),IF(I71&gt;0,ROUND(G71/I71,2),""),"")</f>
        <v/>
      </c>
    </row>
    <row r="72">
      <c r="A72" s="18" t="n"/>
      <c r="G72" s="19" t="n"/>
      <c r="H72" s="20">
        <f>IF(COUNT(E72,G72)&lt;2,"",ROUND(E72*G72,2))</f>
        <v/>
      </c>
      <c r="J72" s="20">
        <f>IF(AND(ISNUMBER(G72),ISNUMBER(I72)),IF(I72&gt;0,ROUND(G72/I72,2),""),"")</f>
        <v/>
      </c>
    </row>
    <row r="73">
      <c r="A73" s="18" t="n"/>
      <c r="G73" s="19" t="n"/>
      <c r="H73" s="20">
        <f>IF(COUNT(E73,G73)&lt;2,"",ROUND(E73*G73,2))</f>
        <v/>
      </c>
      <c r="J73" s="20">
        <f>IF(AND(ISNUMBER(G73),ISNUMBER(I73)),IF(I73&gt;0,ROUND(G73/I73,2),""),"")</f>
        <v/>
      </c>
    </row>
    <row r="74">
      <c r="A74" s="18" t="n"/>
      <c r="G74" s="19" t="n"/>
      <c r="H74" s="20">
        <f>IF(COUNT(E74,G74)&lt;2,"",ROUND(E74*G74,2))</f>
        <v/>
      </c>
      <c r="J74" s="20">
        <f>IF(AND(ISNUMBER(G74),ISNUMBER(I74)),IF(I74&gt;0,ROUND(G74/I74,2),""),"")</f>
        <v/>
      </c>
    </row>
    <row r="75">
      <c r="A75" s="18" t="n"/>
      <c r="G75" s="19" t="n"/>
      <c r="H75" s="20">
        <f>IF(COUNT(E75,G75)&lt;2,"",ROUND(E75*G75,2))</f>
        <v/>
      </c>
      <c r="J75" s="20">
        <f>IF(AND(ISNUMBER(G75),ISNUMBER(I75)),IF(I75&gt;0,ROUND(G75/I75,2),""),"")</f>
        <v/>
      </c>
    </row>
    <row r="76">
      <c r="A76" s="18" t="n"/>
      <c r="G76" s="19" t="n"/>
      <c r="H76" s="20">
        <f>IF(COUNT(E76,G76)&lt;2,"",ROUND(E76*G76,2))</f>
        <v/>
      </c>
      <c r="J76" s="20">
        <f>IF(AND(ISNUMBER(G76),ISNUMBER(I76)),IF(I76&gt;0,ROUND(G76/I76,2),""),"")</f>
        <v/>
      </c>
    </row>
    <row r="77">
      <c r="A77" s="18" t="n"/>
      <c r="G77" s="19" t="n"/>
      <c r="H77" s="20">
        <f>IF(COUNT(E77,G77)&lt;2,"",ROUND(E77*G77,2))</f>
        <v/>
      </c>
      <c r="J77" s="20">
        <f>IF(AND(ISNUMBER(G77),ISNUMBER(I77)),IF(I77&gt;0,ROUND(G77/I77,2),""),"")</f>
        <v/>
      </c>
    </row>
    <row r="78">
      <c r="A78" s="18" t="n"/>
      <c r="G78" s="19" t="n"/>
      <c r="H78" s="20">
        <f>IF(COUNT(E78,G78)&lt;2,"",ROUND(E78*G78,2))</f>
        <v/>
      </c>
      <c r="J78" s="20">
        <f>IF(AND(ISNUMBER(G78),ISNUMBER(I78)),IF(I78&gt;0,ROUND(G78/I78,2),""),"")</f>
        <v/>
      </c>
    </row>
    <row r="79">
      <c r="A79" s="18" t="n"/>
      <c r="G79" s="19" t="n"/>
      <c r="H79" s="20">
        <f>IF(COUNT(E79,G79)&lt;2,"",ROUND(E79*G79,2))</f>
        <v/>
      </c>
      <c r="J79" s="20">
        <f>IF(AND(ISNUMBER(G79),ISNUMBER(I79)),IF(I79&gt;0,ROUND(G79/I79,2),""),"")</f>
        <v/>
      </c>
    </row>
    <row r="80">
      <c r="A80" s="18" t="n"/>
      <c r="G80" s="19" t="n"/>
      <c r="H80" s="20">
        <f>IF(COUNT(E80,G80)&lt;2,"",ROUND(E80*G80,2))</f>
        <v/>
      </c>
      <c r="J80" s="20">
        <f>IF(AND(ISNUMBER(G80),ISNUMBER(I80)),IF(I80&gt;0,ROUND(G80/I80,2),""),"")</f>
        <v/>
      </c>
    </row>
    <row r="81">
      <c r="A81" s="18" t="n"/>
      <c r="G81" s="19" t="n"/>
      <c r="H81" s="20">
        <f>IF(COUNT(E81,G81)&lt;2,"",ROUND(E81*G81,2))</f>
        <v/>
      </c>
      <c r="J81" s="20">
        <f>IF(AND(ISNUMBER(G81),ISNUMBER(I81)),IF(I81&gt;0,ROUND(G81/I81,2),""),"")</f>
        <v/>
      </c>
    </row>
    <row r="82">
      <c r="A82" s="18" t="n"/>
      <c r="G82" s="19" t="n"/>
      <c r="H82" s="20">
        <f>IF(COUNT(E82,G82)&lt;2,"",ROUND(E82*G82,2))</f>
        <v/>
      </c>
      <c r="J82" s="20">
        <f>IF(AND(ISNUMBER(G82),ISNUMBER(I82)),IF(I82&gt;0,ROUND(G82/I82,2),""),"")</f>
        <v/>
      </c>
    </row>
    <row r="83">
      <c r="A83" s="18" t="n"/>
      <c r="G83" s="19" t="n"/>
      <c r="H83" s="20">
        <f>IF(COUNT(E83,G83)&lt;2,"",ROUND(E83*G83,2))</f>
        <v/>
      </c>
      <c r="J83" s="20">
        <f>IF(AND(ISNUMBER(G83),ISNUMBER(I83)),IF(I83&gt;0,ROUND(G83/I83,2),""),"")</f>
        <v/>
      </c>
    </row>
    <row r="84">
      <c r="A84" s="18" t="n"/>
      <c r="G84" s="19" t="n"/>
      <c r="H84" s="20">
        <f>IF(COUNT(E84,G84)&lt;2,"",ROUND(E84*G84,2))</f>
        <v/>
      </c>
      <c r="J84" s="20">
        <f>IF(AND(ISNUMBER(G84),ISNUMBER(I84)),IF(I84&gt;0,ROUND(G84/I84,2),""),"")</f>
        <v/>
      </c>
    </row>
    <row r="85">
      <c r="A85" s="18" t="n"/>
      <c r="G85" s="19" t="n"/>
      <c r="H85" s="20">
        <f>IF(COUNT(E85,G85)&lt;2,"",ROUND(E85*G85,2))</f>
        <v/>
      </c>
      <c r="J85" s="20">
        <f>IF(AND(ISNUMBER(G85),ISNUMBER(I85)),IF(I85&gt;0,ROUND(G85/I85,2),""),"")</f>
        <v/>
      </c>
    </row>
    <row r="86">
      <c r="A86" s="18" t="n"/>
      <c r="G86" s="19" t="n"/>
      <c r="H86" s="20">
        <f>IF(COUNT(E86,G86)&lt;2,"",ROUND(E86*G86,2))</f>
        <v/>
      </c>
      <c r="J86" s="20">
        <f>IF(AND(ISNUMBER(G86),ISNUMBER(I86)),IF(I86&gt;0,ROUND(G86/I86,2),""),"")</f>
        <v/>
      </c>
    </row>
    <row r="87">
      <c r="A87" s="18" t="n"/>
      <c r="G87" s="19" t="n"/>
      <c r="H87" s="20">
        <f>IF(COUNT(E87,G87)&lt;2,"",ROUND(E87*G87,2))</f>
        <v/>
      </c>
      <c r="J87" s="20">
        <f>IF(AND(ISNUMBER(G87),ISNUMBER(I87)),IF(I87&gt;0,ROUND(G87/I87,2),""),"")</f>
        <v/>
      </c>
    </row>
    <row r="88">
      <c r="A88" s="18" t="n"/>
      <c r="G88" s="19" t="n"/>
      <c r="H88" s="20">
        <f>IF(COUNT(E88,G88)&lt;2,"",ROUND(E88*G88,2))</f>
        <v/>
      </c>
      <c r="J88" s="20">
        <f>IF(AND(ISNUMBER(G88),ISNUMBER(I88)),IF(I88&gt;0,ROUND(G88/I88,2),""),"")</f>
        <v/>
      </c>
    </row>
    <row r="89">
      <c r="A89" s="18" t="n"/>
      <c r="G89" s="19" t="n"/>
      <c r="H89" s="20">
        <f>IF(COUNT(E89,G89)&lt;2,"",ROUND(E89*G89,2))</f>
        <v/>
      </c>
      <c r="J89" s="20">
        <f>IF(AND(ISNUMBER(G89),ISNUMBER(I89)),IF(I89&gt;0,ROUND(G89/I89,2),""),"")</f>
        <v/>
      </c>
    </row>
    <row r="90">
      <c r="A90" s="18" t="n"/>
      <c r="G90" s="19" t="n"/>
      <c r="H90" s="20">
        <f>IF(COUNT(E90,G90)&lt;2,"",ROUND(E90*G90,2))</f>
        <v/>
      </c>
      <c r="J90" s="20">
        <f>IF(AND(ISNUMBER(G90),ISNUMBER(I90)),IF(I90&gt;0,ROUND(G90/I90,2),""),"")</f>
        <v/>
      </c>
    </row>
    <row r="91">
      <c r="A91" s="18" t="n"/>
      <c r="G91" s="19" t="n"/>
      <c r="H91" s="20">
        <f>IF(COUNT(E91,G91)&lt;2,"",ROUND(E91*G91,2))</f>
        <v/>
      </c>
      <c r="J91" s="20">
        <f>IF(AND(ISNUMBER(G91),ISNUMBER(I91)),IF(I91&gt;0,ROUND(G91/I91,2),""),"")</f>
        <v/>
      </c>
    </row>
    <row r="92">
      <c r="A92" s="18" t="n"/>
      <c r="G92" s="19" t="n"/>
      <c r="H92" s="20">
        <f>IF(COUNT(E92,G92)&lt;2,"",ROUND(E92*G92,2))</f>
        <v/>
      </c>
      <c r="J92" s="20">
        <f>IF(AND(ISNUMBER(G92),ISNUMBER(I92)),IF(I92&gt;0,ROUND(G92/I92,2),""),"")</f>
        <v/>
      </c>
    </row>
    <row r="93">
      <c r="A93" s="18" t="n"/>
      <c r="G93" s="19" t="n"/>
      <c r="H93" s="20">
        <f>IF(COUNT(E93,G93)&lt;2,"",ROUND(E93*G93,2))</f>
        <v/>
      </c>
      <c r="J93" s="20">
        <f>IF(AND(ISNUMBER(G93),ISNUMBER(I93)),IF(I93&gt;0,ROUND(G93/I93,2),""),"")</f>
        <v/>
      </c>
    </row>
    <row r="94">
      <c r="A94" s="18" t="n"/>
      <c r="G94" s="19" t="n"/>
      <c r="H94" s="20">
        <f>IF(COUNT(E94,G94)&lt;2,"",ROUND(E94*G94,2))</f>
        <v/>
      </c>
      <c r="J94" s="20">
        <f>IF(AND(ISNUMBER(G94),ISNUMBER(I94)),IF(I94&gt;0,ROUND(G94/I94,2),""),"")</f>
        <v/>
      </c>
    </row>
    <row r="95">
      <c r="A95" s="18" t="n"/>
      <c r="G95" s="19" t="n"/>
      <c r="H95" s="20">
        <f>IF(COUNT(E95,G95)&lt;2,"",ROUND(E95*G95,2))</f>
        <v/>
      </c>
      <c r="J95" s="20">
        <f>IF(AND(ISNUMBER(G95),ISNUMBER(I95)),IF(I95&gt;0,ROUND(G95/I95,2),""),"")</f>
        <v/>
      </c>
    </row>
    <row r="96">
      <c r="A96" s="18" t="n"/>
      <c r="G96" s="19" t="n"/>
      <c r="H96" s="20">
        <f>IF(COUNT(E96,G96)&lt;2,"",ROUND(E96*G96,2))</f>
        <v/>
      </c>
      <c r="J96" s="20">
        <f>IF(AND(ISNUMBER(G96),ISNUMBER(I96)),IF(I96&gt;0,ROUND(G96/I96,2),""),"")</f>
        <v/>
      </c>
    </row>
    <row r="97">
      <c r="A97" s="18" t="n"/>
      <c r="G97" s="19" t="n"/>
      <c r="H97" s="20">
        <f>IF(COUNT(E97,G97)&lt;2,"",ROUND(E97*G97,2))</f>
        <v/>
      </c>
      <c r="J97" s="20">
        <f>IF(AND(ISNUMBER(G97),ISNUMBER(I97)),IF(I97&gt;0,ROUND(G97/I97,2),""),"")</f>
        <v/>
      </c>
    </row>
    <row r="98">
      <c r="A98" s="18" t="n"/>
      <c r="G98" s="19" t="n"/>
      <c r="H98" s="20">
        <f>IF(COUNT(E98,G98)&lt;2,"",ROUND(E98*G98,2))</f>
        <v/>
      </c>
      <c r="J98" s="20">
        <f>IF(AND(ISNUMBER(G98),ISNUMBER(I98)),IF(I98&gt;0,ROUND(G98/I98,2),""),"")</f>
        <v/>
      </c>
    </row>
    <row r="99">
      <c r="A99" s="18" t="n"/>
      <c r="G99" s="19" t="n"/>
      <c r="H99" s="20">
        <f>IF(COUNT(E99,G99)&lt;2,"",ROUND(E99*G99,2))</f>
        <v/>
      </c>
      <c r="J99" s="20">
        <f>IF(AND(ISNUMBER(G99),ISNUMBER(I99)),IF(I99&gt;0,ROUND(G99/I99,2),""),"")</f>
        <v/>
      </c>
    </row>
    <row r="100">
      <c r="A100" s="18" t="n"/>
      <c r="G100" s="19" t="n"/>
      <c r="H100" s="20">
        <f>IF(COUNT(E100,G100)&lt;2,"",ROUND(E100*G100,2))</f>
        <v/>
      </c>
      <c r="J100" s="20">
        <f>IF(AND(ISNUMBER(G100),ISNUMBER(I100)),IF(I100&gt;0,ROUND(G100/I100,2),""),"")</f>
        <v/>
      </c>
    </row>
    <row r="101">
      <c r="A101" s="18" t="n"/>
      <c r="G101" s="19" t="n"/>
      <c r="H101" s="20">
        <f>IF(COUNT(E101,G101)&lt;2,"",ROUND(E101*G101,2))</f>
        <v/>
      </c>
      <c r="J101" s="20">
        <f>IF(AND(ISNUMBER(G101),ISNUMBER(I101)),IF(I101&gt;0,ROUND(G101/I101,2),""),"")</f>
        <v/>
      </c>
    </row>
    <row r="102">
      <c r="A102" s="18" t="n"/>
      <c r="G102" s="19" t="n"/>
      <c r="H102" s="20">
        <f>IF(COUNT(E102,G102)&lt;2,"",ROUND(E102*G102,2))</f>
        <v/>
      </c>
      <c r="J102" s="20">
        <f>IF(AND(ISNUMBER(G102),ISNUMBER(I102)),IF(I102&gt;0,ROUND(G102/I102,2),""),"")</f>
        <v/>
      </c>
    </row>
    <row r="103">
      <c r="A103" s="18" t="n"/>
      <c r="G103" s="19" t="n"/>
      <c r="H103" s="20">
        <f>IF(COUNT(E103,G103)&lt;2,"",ROUND(E103*G103,2))</f>
        <v/>
      </c>
      <c r="J103" s="20">
        <f>IF(AND(ISNUMBER(G103),ISNUMBER(I103)),IF(I103&gt;0,ROUND(G103/I103,2),""),"")</f>
        <v/>
      </c>
    </row>
    <row r="104">
      <c r="A104" s="18" t="n"/>
      <c r="G104" s="19" t="n"/>
      <c r="H104" s="20">
        <f>IF(COUNT(E104,G104)&lt;2,"",ROUND(E104*G104,2))</f>
        <v/>
      </c>
      <c r="J104" s="20">
        <f>IF(AND(ISNUMBER(G104),ISNUMBER(I104)),IF(I104&gt;0,ROUND(G104/I104,2),""),"")</f>
        <v/>
      </c>
    </row>
    <row r="105">
      <c r="A105" s="18" t="n"/>
      <c r="G105" s="19" t="n"/>
      <c r="H105" s="20">
        <f>IF(COUNT(E105,G105)&lt;2,"",ROUND(E105*G105,2))</f>
        <v/>
      </c>
      <c r="J105" s="20">
        <f>IF(AND(ISNUMBER(G105),ISNUMBER(I105)),IF(I105&gt;0,ROUND(G105/I105,2),""),"")</f>
        <v/>
      </c>
    </row>
    <row r="106">
      <c r="A106" s="18" t="n"/>
      <c r="G106" s="19" t="n"/>
      <c r="H106" s="20">
        <f>IF(COUNT(E106,G106)&lt;2,"",ROUND(E106*G106,2))</f>
        <v/>
      </c>
      <c r="J106" s="20">
        <f>IF(AND(ISNUMBER(G106),ISNUMBER(I106)),IF(I106&gt;0,ROUND(G106/I106,2),""),"")</f>
        <v/>
      </c>
    </row>
    <row r="107">
      <c r="A107" s="18" t="n"/>
      <c r="G107" s="19" t="n"/>
      <c r="H107" s="20">
        <f>IF(COUNT(E107,G107)&lt;2,"",ROUND(E107*G107,2))</f>
        <v/>
      </c>
      <c r="J107" s="20">
        <f>IF(AND(ISNUMBER(G107),ISNUMBER(I107)),IF(I107&gt;0,ROUND(G107/I107,2),""),"")</f>
        <v/>
      </c>
    </row>
    <row r="108">
      <c r="A108" s="18" t="n"/>
      <c r="G108" s="19" t="n"/>
      <c r="H108" s="20">
        <f>IF(COUNT(E108,G108)&lt;2,"",ROUND(E108*G108,2))</f>
        <v/>
      </c>
      <c r="J108" s="20">
        <f>IF(AND(ISNUMBER(G108),ISNUMBER(I108)),IF(I108&gt;0,ROUND(G108/I108,2),""),"")</f>
        <v/>
      </c>
    </row>
    <row r="109">
      <c r="A109" s="18" t="n"/>
      <c r="G109" s="19" t="n"/>
      <c r="H109" s="20">
        <f>IF(COUNT(E109,G109)&lt;2,"",ROUND(E109*G109,2))</f>
        <v/>
      </c>
      <c r="J109" s="20">
        <f>IF(AND(ISNUMBER(G109),ISNUMBER(I109)),IF(I109&gt;0,ROUND(G109/I109,2),""),"")</f>
        <v/>
      </c>
    </row>
    <row r="110">
      <c r="A110" s="18" t="n"/>
      <c r="G110" s="19" t="n"/>
      <c r="H110" s="20">
        <f>IF(COUNT(E110,G110)&lt;2,"",ROUND(E110*G110,2))</f>
        <v/>
      </c>
      <c r="J110" s="20">
        <f>IF(AND(ISNUMBER(G110),ISNUMBER(I110)),IF(I110&gt;0,ROUND(G110/I110,2),""),"")</f>
        <v/>
      </c>
    </row>
    <row r="111">
      <c r="A111" s="18" t="n"/>
      <c r="G111" s="19" t="n"/>
      <c r="H111" s="20">
        <f>IF(COUNT(E111,G111)&lt;2,"",ROUND(E111*G111,2))</f>
        <v/>
      </c>
      <c r="J111" s="20">
        <f>IF(AND(ISNUMBER(G111),ISNUMBER(I111)),IF(I111&gt;0,ROUND(G111/I111,2),""),"")</f>
        <v/>
      </c>
    </row>
    <row r="112">
      <c r="A112" s="18" t="n"/>
      <c r="G112" s="19" t="n"/>
      <c r="H112" s="20">
        <f>IF(COUNT(E112,G112)&lt;2,"",ROUND(E112*G112,2))</f>
        <v/>
      </c>
      <c r="J112" s="20">
        <f>IF(AND(ISNUMBER(G112),ISNUMBER(I112)),IF(I112&gt;0,ROUND(G112/I112,2),""),"")</f>
        <v/>
      </c>
    </row>
    <row r="113">
      <c r="A113" s="18" t="n"/>
      <c r="G113" s="19" t="n"/>
      <c r="H113" s="20">
        <f>IF(COUNT(E113,G113)&lt;2,"",ROUND(E113*G113,2))</f>
        <v/>
      </c>
      <c r="J113" s="20">
        <f>IF(AND(ISNUMBER(G113),ISNUMBER(I113)),IF(I113&gt;0,ROUND(G113/I113,2),""),"")</f>
        <v/>
      </c>
    </row>
    <row r="114">
      <c r="A114" s="18" t="n"/>
      <c r="G114" s="19" t="n"/>
      <c r="H114" s="20">
        <f>IF(COUNT(E114,G114)&lt;2,"",ROUND(E114*G114,2))</f>
        <v/>
      </c>
      <c r="J114" s="20">
        <f>IF(AND(ISNUMBER(G114),ISNUMBER(I114)),IF(I114&gt;0,ROUND(G114/I114,2),""),"")</f>
        <v/>
      </c>
    </row>
    <row r="115">
      <c r="A115" s="18" t="n"/>
      <c r="G115" s="19" t="n"/>
      <c r="H115" s="20">
        <f>IF(COUNT(E115,G115)&lt;2,"",ROUND(E115*G115,2))</f>
        <v/>
      </c>
      <c r="J115" s="20">
        <f>IF(AND(ISNUMBER(G115),ISNUMBER(I115)),IF(I115&gt;0,ROUND(G115/I115,2),""),"")</f>
        <v/>
      </c>
    </row>
    <row r="116">
      <c r="A116" s="18" t="n"/>
      <c r="G116" s="19" t="n"/>
      <c r="H116" s="20">
        <f>IF(COUNT(E116,G116)&lt;2,"",ROUND(E116*G116,2))</f>
        <v/>
      </c>
      <c r="J116" s="20">
        <f>IF(AND(ISNUMBER(G116),ISNUMBER(I116)),IF(I116&gt;0,ROUND(G116/I116,2),""),"")</f>
        <v/>
      </c>
    </row>
    <row r="117">
      <c r="A117" s="18" t="n"/>
      <c r="G117" s="19" t="n"/>
      <c r="H117" s="20">
        <f>IF(COUNT(E117,G117)&lt;2,"",ROUND(E117*G117,2))</f>
        <v/>
      </c>
      <c r="J117" s="20">
        <f>IF(AND(ISNUMBER(G117),ISNUMBER(I117)),IF(I117&gt;0,ROUND(G117/I117,2),""),"")</f>
        <v/>
      </c>
    </row>
    <row r="118">
      <c r="A118" s="18" t="n"/>
      <c r="G118" s="19" t="n"/>
      <c r="H118" s="20">
        <f>IF(COUNT(E118,G118)&lt;2,"",ROUND(E118*G118,2))</f>
        <v/>
      </c>
      <c r="J118" s="20">
        <f>IF(AND(ISNUMBER(G118),ISNUMBER(I118)),IF(I118&gt;0,ROUND(G118/I118,2),""),"")</f>
        <v/>
      </c>
    </row>
    <row r="119">
      <c r="A119" s="18" t="n"/>
      <c r="G119" s="19" t="n"/>
      <c r="H119" s="20">
        <f>IF(COUNT(E119,G119)&lt;2,"",ROUND(E119*G119,2))</f>
        <v/>
      </c>
      <c r="J119" s="20">
        <f>IF(AND(ISNUMBER(G119),ISNUMBER(I119)),IF(I119&gt;0,ROUND(G119/I119,2),""),"")</f>
        <v/>
      </c>
    </row>
    <row r="120">
      <c r="A120" s="18" t="n"/>
      <c r="G120" s="19" t="n"/>
      <c r="H120" s="20">
        <f>IF(COUNT(E120,G120)&lt;2,"",ROUND(E120*G120,2))</f>
        <v/>
      </c>
      <c r="J120" s="20">
        <f>IF(AND(ISNUMBER(G120),ISNUMBER(I120)),IF(I120&gt;0,ROUND(G120/I120,2),""),"")</f>
        <v/>
      </c>
    </row>
    <row r="121">
      <c r="A121" s="18" t="n"/>
      <c r="G121" s="19" t="n"/>
      <c r="H121" s="20">
        <f>IF(COUNT(E121,G121)&lt;2,"",ROUND(E121*G121,2))</f>
        <v/>
      </c>
      <c r="J121" s="20">
        <f>IF(AND(ISNUMBER(G121),ISNUMBER(I121)),IF(I121&gt;0,ROUND(G121/I121,2),""),"")</f>
        <v/>
      </c>
    </row>
    <row r="122">
      <c r="A122" s="18" t="n"/>
      <c r="G122" s="19" t="n"/>
      <c r="H122" s="20">
        <f>IF(COUNT(E122,G122)&lt;2,"",ROUND(E122*G122,2))</f>
        <v/>
      </c>
      <c r="J122" s="20">
        <f>IF(AND(ISNUMBER(G122),ISNUMBER(I122)),IF(I122&gt;0,ROUND(G122/I122,2),""),"")</f>
        <v/>
      </c>
    </row>
    <row r="123">
      <c r="A123" s="18" t="n"/>
      <c r="G123" s="19" t="n"/>
      <c r="H123" s="20">
        <f>IF(COUNT(E123,G123)&lt;2,"",ROUND(E123*G123,2))</f>
        <v/>
      </c>
      <c r="J123" s="20">
        <f>IF(AND(ISNUMBER(G123),ISNUMBER(I123)),IF(I123&gt;0,ROUND(G123/I123,2),""),"")</f>
        <v/>
      </c>
    </row>
    <row r="124">
      <c r="A124" s="18" t="n"/>
      <c r="G124" s="19" t="n"/>
      <c r="H124" s="20">
        <f>IF(COUNT(E124,G124)&lt;2,"",ROUND(E124*G124,2))</f>
        <v/>
      </c>
      <c r="J124" s="20">
        <f>IF(AND(ISNUMBER(G124),ISNUMBER(I124)),IF(I124&gt;0,ROUND(G124/I124,2),""),"")</f>
        <v/>
      </c>
    </row>
    <row r="125">
      <c r="A125" s="18" t="n"/>
      <c r="G125" s="19" t="n"/>
      <c r="H125" s="20">
        <f>IF(COUNT(E125,G125)&lt;2,"",ROUND(E125*G125,2))</f>
        <v/>
      </c>
      <c r="J125" s="20">
        <f>IF(AND(ISNUMBER(G125),ISNUMBER(I125)),IF(I125&gt;0,ROUND(G125/I125,2),""),"")</f>
        <v/>
      </c>
    </row>
    <row r="126">
      <c r="A126" s="18" t="n"/>
      <c r="G126" s="19" t="n"/>
      <c r="H126" s="20">
        <f>IF(COUNT(E126,G126)&lt;2,"",ROUND(E126*G126,2))</f>
        <v/>
      </c>
      <c r="J126" s="20">
        <f>IF(AND(ISNUMBER(G126),ISNUMBER(I126)),IF(I126&gt;0,ROUND(G126/I126,2),""),"")</f>
        <v/>
      </c>
    </row>
    <row r="127">
      <c r="A127" s="18" t="n"/>
      <c r="G127" s="19" t="n"/>
      <c r="H127" s="20">
        <f>IF(COUNT(E127,G127)&lt;2,"",ROUND(E127*G127,2))</f>
        <v/>
      </c>
      <c r="J127" s="20">
        <f>IF(AND(ISNUMBER(G127),ISNUMBER(I127)),IF(I127&gt;0,ROUND(G127/I127,2),""),"")</f>
        <v/>
      </c>
    </row>
    <row r="128">
      <c r="A128" s="18" t="n"/>
      <c r="G128" s="19" t="n"/>
      <c r="H128" s="20">
        <f>IF(COUNT(E128,G128)&lt;2,"",ROUND(E128*G128,2))</f>
        <v/>
      </c>
      <c r="J128" s="20">
        <f>IF(AND(ISNUMBER(G128),ISNUMBER(I128)),IF(I128&gt;0,ROUND(G128/I128,2),""),"")</f>
        <v/>
      </c>
    </row>
    <row r="129">
      <c r="A129" s="18" t="n"/>
      <c r="G129" s="19" t="n"/>
      <c r="H129" s="20">
        <f>IF(COUNT(E129,G129)&lt;2,"",ROUND(E129*G129,2))</f>
        <v/>
      </c>
      <c r="J129" s="20">
        <f>IF(AND(ISNUMBER(G129),ISNUMBER(I129)),IF(I129&gt;0,ROUND(G129/I129,2),""),"")</f>
        <v/>
      </c>
    </row>
    <row r="130">
      <c r="A130" s="18" t="n"/>
      <c r="G130" s="19" t="n"/>
      <c r="H130" s="20">
        <f>IF(COUNT(E130,G130)&lt;2,"",ROUND(E130*G130,2))</f>
        <v/>
      </c>
      <c r="J130" s="20">
        <f>IF(AND(ISNUMBER(G130),ISNUMBER(I130)),IF(I130&gt;0,ROUND(G130/I130,2),""),"")</f>
        <v/>
      </c>
    </row>
    <row r="131">
      <c r="A131" s="18" t="n"/>
      <c r="G131" s="19" t="n"/>
      <c r="H131" s="20">
        <f>IF(COUNT(E131,G131)&lt;2,"",ROUND(E131*G131,2))</f>
        <v/>
      </c>
      <c r="J131" s="20">
        <f>IF(AND(ISNUMBER(G131),ISNUMBER(I131)),IF(I131&gt;0,ROUND(G131/I131,2),""),"")</f>
        <v/>
      </c>
    </row>
    <row r="132">
      <c r="A132" s="18" t="n"/>
      <c r="G132" s="19" t="n"/>
      <c r="H132" s="20">
        <f>IF(COUNT(E132,G132)&lt;2,"",ROUND(E132*G132,2))</f>
        <v/>
      </c>
      <c r="J132" s="20">
        <f>IF(AND(ISNUMBER(G132),ISNUMBER(I132)),IF(I132&gt;0,ROUND(G132/I132,2),""),"")</f>
        <v/>
      </c>
    </row>
    <row r="133">
      <c r="A133" s="18" t="n"/>
      <c r="G133" s="19" t="n"/>
      <c r="H133" s="20">
        <f>IF(COUNT(E133,G133)&lt;2,"",ROUND(E133*G133,2))</f>
        <v/>
      </c>
      <c r="J133" s="20">
        <f>IF(AND(ISNUMBER(G133),ISNUMBER(I133)),IF(I133&gt;0,ROUND(G133/I133,2),""),"")</f>
        <v/>
      </c>
    </row>
    <row r="134">
      <c r="A134" s="18" t="n"/>
      <c r="G134" s="19" t="n"/>
      <c r="H134" s="20">
        <f>IF(COUNT(E134,G134)&lt;2,"",ROUND(E134*G134,2))</f>
        <v/>
      </c>
      <c r="J134" s="20">
        <f>IF(AND(ISNUMBER(G134),ISNUMBER(I134)),IF(I134&gt;0,ROUND(G134/I134,2),""),"")</f>
        <v/>
      </c>
    </row>
    <row r="135">
      <c r="A135" s="18" t="n"/>
      <c r="G135" s="19" t="n"/>
      <c r="H135" s="20">
        <f>IF(COUNT(E135,G135)&lt;2,"",ROUND(E135*G135,2))</f>
        <v/>
      </c>
      <c r="J135" s="20">
        <f>IF(AND(ISNUMBER(G135),ISNUMBER(I135)),IF(I135&gt;0,ROUND(G135/I135,2),""),"")</f>
        <v/>
      </c>
    </row>
    <row r="136">
      <c r="A136" s="18" t="n"/>
      <c r="G136" s="19" t="n"/>
      <c r="H136" s="20">
        <f>IF(COUNT(E136,G136)&lt;2,"",ROUND(E136*G136,2))</f>
        <v/>
      </c>
      <c r="J136" s="20">
        <f>IF(AND(ISNUMBER(G136),ISNUMBER(I136)),IF(I136&gt;0,ROUND(G136/I136,2),""),"")</f>
        <v/>
      </c>
    </row>
    <row r="137">
      <c r="A137" s="18" t="n"/>
      <c r="G137" s="19" t="n"/>
      <c r="H137" s="20">
        <f>IF(COUNT(E137,G137)&lt;2,"",ROUND(E137*G137,2))</f>
        <v/>
      </c>
      <c r="J137" s="20">
        <f>IF(AND(ISNUMBER(G137),ISNUMBER(I137)),IF(I137&gt;0,ROUND(G137/I137,2),""),"")</f>
        <v/>
      </c>
    </row>
    <row r="138">
      <c r="A138" s="18" t="n"/>
      <c r="G138" s="19" t="n"/>
      <c r="H138" s="20">
        <f>IF(COUNT(E138,G138)&lt;2,"",ROUND(E138*G138,2))</f>
        <v/>
      </c>
      <c r="J138" s="20">
        <f>IF(AND(ISNUMBER(G138),ISNUMBER(I138)),IF(I138&gt;0,ROUND(G138/I138,2),""),"")</f>
        <v/>
      </c>
    </row>
    <row r="139">
      <c r="A139" s="18" t="n"/>
      <c r="G139" s="19" t="n"/>
      <c r="H139" s="20">
        <f>IF(COUNT(E139,G139)&lt;2,"",ROUND(E139*G139,2))</f>
        <v/>
      </c>
      <c r="J139" s="20">
        <f>IF(AND(ISNUMBER(G139),ISNUMBER(I139)),IF(I139&gt;0,ROUND(G139/I139,2),""),"")</f>
        <v/>
      </c>
    </row>
    <row r="140">
      <c r="A140" s="18" t="n"/>
      <c r="G140" s="19" t="n"/>
      <c r="H140" s="20">
        <f>IF(COUNT(E140,G140)&lt;2,"",ROUND(E140*G140,2))</f>
        <v/>
      </c>
      <c r="J140" s="20">
        <f>IF(AND(ISNUMBER(G140),ISNUMBER(I140)),IF(I140&gt;0,ROUND(G140/I140,2),""),"")</f>
        <v/>
      </c>
    </row>
    <row r="141">
      <c r="A141" s="18" t="n"/>
      <c r="G141" s="19" t="n"/>
      <c r="H141" s="20">
        <f>IF(COUNT(E141,G141)&lt;2,"",ROUND(E141*G141,2))</f>
        <v/>
      </c>
      <c r="J141" s="20">
        <f>IF(AND(ISNUMBER(G141),ISNUMBER(I141)),IF(I141&gt;0,ROUND(G141/I141,2),""),"")</f>
        <v/>
      </c>
    </row>
    <row r="142">
      <c r="A142" s="18" t="n"/>
      <c r="G142" s="19" t="n"/>
      <c r="H142" s="20">
        <f>IF(COUNT(E142,G142)&lt;2,"",ROUND(E142*G142,2))</f>
        <v/>
      </c>
      <c r="J142" s="20">
        <f>IF(AND(ISNUMBER(G142),ISNUMBER(I142)),IF(I142&gt;0,ROUND(G142/I142,2),""),"")</f>
        <v/>
      </c>
    </row>
    <row r="143">
      <c r="A143" s="18" t="n"/>
      <c r="G143" s="19" t="n"/>
      <c r="H143" s="20">
        <f>IF(COUNT(E143,G143)&lt;2,"",ROUND(E143*G143,2))</f>
        <v/>
      </c>
      <c r="J143" s="20">
        <f>IF(AND(ISNUMBER(G143),ISNUMBER(I143)),IF(I143&gt;0,ROUND(G143/I143,2),""),"")</f>
        <v/>
      </c>
    </row>
    <row r="144">
      <c r="A144" s="18" t="n"/>
      <c r="G144" s="19" t="n"/>
      <c r="H144" s="20">
        <f>IF(COUNT(E144,G144)&lt;2,"",ROUND(E144*G144,2))</f>
        <v/>
      </c>
      <c r="J144" s="20">
        <f>IF(AND(ISNUMBER(G144),ISNUMBER(I144)),IF(I144&gt;0,ROUND(G144/I144,2),""),"")</f>
        <v/>
      </c>
    </row>
    <row r="145">
      <c r="A145" s="18" t="n"/>
      <c r="G145" s="19" t="n"/>
      <c r="H145" s="20">
        <f>IF(COUNT(E145,G145)&lt;2,"",ROUND(E145*G145,2))</f>
        <v/>
      </c>
      <c r="J145" s="20">
        <f>IF(AND(ISNUMBER(G145),ISNUMBER(I145)),IF(I145&gt;0,ROUND(G145/I145,2),""),"")</f>
        <v/>
      </c>
    </row>
    <row r="146">
      <c r="A146" s="18" t="n"/>
      <c r="G146" s="19" t="n"/>
      <c r="H146" s="20">
        <f>IF(COUNT(E146,G146)&lt;2,"",ROUND(E146*G146,2))</f>
        <v/>
      </c>
      <c r="J146" s="20">
        <f>IF(AND(ISNUMBER(G146),ISNUMBER(I146)),IF(I146&gt;0,ROUND(G146/I146,2),""),"")</f>
        <v/>
      </c>
    </row>
    <row r="147">
      <c r="A147" s="18" t="n"/>
      <c r="G147" s="19" t="n"/>
      <c r="H147" s="20">
        <f>IF(COUNT(E147,G147)&lt;2,"",ROUND(E147*G147,2))</f>
        <v/>
      </c>
      <c r="J147" s="20">
        <f>IF(AND(ISNUMBER(G147),ISNUMBER(I147)),IF(I147&gt;0,ROUND(G147/I147,2),""),"")</f>
        <v/>
      </c>
    </row>
    <row r="148">
      <c r="A148" s="18" t="n"/>
      <c r="G148" s="19" t="n"/>
      <c r="H148" s="20">
        <f>IF(COUNT(E148,G148)&lt;2,"",ROUND(E148*G148,2))</f>
        <v/>
      </c>
      <c r="J148" s="20">
        <f>IF(AND(ISNUMBER(G148),ISNUMBER(I148)),IF(I148&gt;0,ROUND(G148/I148,2),""),"")</f>
        <v/>
      </c>
    </row>
    <row r="149">
      <c r="A149" s="18" t="n"/>
      <c r="G149" s="19" t="n"/>
      <c r="H149" s="20">
        <f>IF(COUNT(E149,G149)&lt;2,"",ROUND(E149*G149,2))</f>
        <v/>
      </c>
      <c r="J149" s="20">
        <f>IF(AND(ISNUMBER(G149),ISNUMBER(I149)),IF(I149&gt;0,ROUND(G149/I149,2),""),"")</f>
        <v/>
      </c>
    </row>
    <row r="150">
      <c r="A150" s="18" t="n"/>
      <c r="G150" s="19" t="n"/>
      <c r="H150" s="20">
        <f>IF(COUNT(E150,G150)&lt;2,"",ROUND(E150*G150,2))</f>
        <v/>
      </c>
      <c r="J150" s="20">
        <f>IF(AND(ISNUMBER(G150),ISNUMBER(I150)),IF(I150&gt;0,ROUND(G150/I150,2),""),"")</f>
        <v/>
      </c>
    </row>
    <row r="151">
      <c r="A151" s="18" t="n"/>
      <c r="G151" s="19" t="n"/>
      <c r="H151" s="20">
        <f>IF(COUNT(E151,G151)&lt;2,"",ROUND(E151*G151,2))</f>
        <v/>
      </c>
      <c r="J151" s="20">
        <f>IF(AND(ISNUMBER(G151),ISNUMBER(I151)),IF(I151&gt;0,ROUND(G151/I151,2),""),"")</f>
        <v/>
      </c>
    </row>
    <row r="152">
      <c r="A152" s="18" t="n"/>
      <c r="G152" s="19" t="n"/>
      <c r="H152" s="20">
        <f>IF(COUNT(E152,G152)&lt;2,"",ROUND(E152*G152,2))</f>
        <v/>
      </c>
      <c r="J152" s="20">
        <f>IF(AND(ISNUMBER(G152),ISNUMBER(I152)),IF(I152&gt;0,ROUND(G152/I152,2),""),"")</f>
        <v/>
      </c>
    </row>
    <row r="153">
      <c r="A153" s="18" t="n"/>
      <c r="G153" s="19" t="n"/>
      <c r="H153" s="20">
        <f>IF(COUNT(E153,G153)&lt;2,"",ROUND(E153*G153,2))</f>
        <v/>
      </c>
      <c r="J153" s="20">
        <f>IF(AND(ISNUMBER(G153),ISNUMBER(I153)),IF(I153&gt;0,ROUND(G153/I153,2),""),"")</f>
        <v/>
      </c>
    </row>
    <row r="154">
      <c r="A154" s="18" t="n"/>
      <c r="G154" s="19" t="n"/>
      <c r="H154" s="20">
        <f>IF(COUNT(E154,G154)&lt;2,"",ROUND(E154*G154,2))</f>
        <v/>
      </c>
      <c r="J154" s="20">
        <f>IF(AND(ISNUMBER(G154),ISNUMBER(I154)),IF(I154&gt;0,ROUND(G154/I154,2),""),"")</f>
        <v/>
      </c>
    </row>
    <row r="155">
      <c r="A155" s="18" t="n"/>
      <c r="G155" s="19" t="n"/>
      <c r="H155" s="20">
        <f>IF(COUNT(E155,G155)&lt;2,"",ROUND(E155*G155,2))</f>
        <v/>
      </c>
      <c r="J155" s="20">
        <f>IF(AND(ISNUMBER(G155),ISNUMBER(I155)),IF(I155&gt;0,ROUND(G155/I155,2),""),"")</f>
        <v/>
      </c>
    </row>
    <row r="156">
      <c r="A156" s="18" t="n"/>
      <c r="G156" s="19" t="n"/>
      <c r="H156" s="20">
        <f>IF(COUNT(E156,G156)&lt;2,"",ROUND(E156*G156,2))</f>
        <v/>
      </c>
      <c r="J156" s="20">
        <f>IF(AND(ISNUMBER(G156),ISNUMBER(I156)),IF(I156&gt;0,ROUND(G156/I156,2),""),"")</f>
        <v/>
      </c>
    </row>
    <row r="157">
      <c r="A157" s="18" t="n"/>
      <c r="G157" s="19" t="n"/>
      <c r="H157" s="20">
        <f>IF(COUNT(E157,G157)&lt;2,"",ROUND(E157*G157,2))</f>
        <v/>
      </c>
      <c r="J157" s="20">
        <f>IF(AND(ISNUMBER(G157),ISNUMBER(I157)),IF(I157&gt;0,ROUND(G157/I157,2),""),"")</f>
        <v/>
      </c>
    </row>
    <row r="158">
      <c r="A158" s="18" t="n"/>
      <c r="G158" s="19" t="n"/>
      <c r="H158" s="20">
        <f>IF(COUNT(E158,G158)&lt;2,"",ROUND(E158*G158,2))</f>
        <v/>
      </c>
      <c r="J158" s="20">
        <f>IF(AND(ISNUMBER(G158),ISNUMBER(I158)),IF(I158&gt;0,ROUND(G158/I158,2),""),"")</f>
        <v/>
      </c>
    </row>
    <row r="159">
      <c r="A159" s="18" t="n"/>
      <c r="G159" s="19" t="n"/>
      <c r="H159" s="20">
        <f>IF(COUNT(E159,G159)&lt;2,"",ROUND(E159*G159,2))</f>
        <v/>
      </c>
      <c r="J159" s="20">
        <f>IF(AND(ISNUMBER(G159),ISNUMBER(I159)),IF(I159&gt;0,ROUND(G159/I159,2),""),"")</f>
        <v/>
      </c>
    </row>
    <row r="160">
      <c r="A160" s="18" t="n"/>
      <c r="G160" s="19" t="n"/>
      <c r="H160" s="20">
        <f>IF(COUNT(E160,G160)&lt;2,"",ROUND(E160*G160,2))</f>
        <v/>
      </c>
      <c r="J160" s="20">
        <f>IF(AND(ISNUMBER(G160),ISNUMBER(I160)),IF(I160&gt;0,ROUND(G160/I160,2),""),"")</f>
        <v/>
      </c>
    </row>
    <row r="161">
      <c r="A161" s="18" t="n"/>
      <c r="G161" s="19" t="n"/>
      <c r="H161" s="20">
        <f>IF(COUNT(E161,G161)&lt;2,"",ROUND(E161*G161,2))</f>
        <v/>
      </c>
      <c r="J161" s="20">
        <f>IF(AND(ISNUMBER(G161),ISNUMBER(I161)),IF(I161&gt;0,ROUND(G161/I161,2),""),"")</f>
        <v/>
      </c>
    </row>
    <row r="162">
      <c r="A162" s="18" t="n"/>
      <c r="G162" s="19" t="n"/>
      <c r="H162" s="20">
        <f>IF(COUNT(E162,G162)&lt;2,"",ROUND(E162*G162,2))</f>
        <v/>
      </c>
      <c r="J162" s="20">
        <f>IF(AND(ISNUMBER(G162),ISNUMBER(I162)),IF(I162&gt;0,ROUND(G162/I162,2),""),"")</f>
        <v/>
      </c>
    </row>
    <row r="163">
      <c r="A163" s="18" t="n"/>
      <c r="G163" s="19" t="n"/>
      <c r="H163" s="20">
        <f>IF(COUNT(E163,G163)&lt;2,"",ROUND(E163*G163,2))</f>
        <v/>
      </c>
      <c r="J163" s="20">
        <f>IF(AND(ISNUMBER(G163),ISNUMBER(I163)),IF(I163&gt;0,ROUND(G163/I163,2),""),"")</f>
        <v/>
      </c>
    </row>
    <row r="164">
      <c r="A164" s="18" t="n"/>
      <c r="G164" s="19" t="n"/>
      <c r="H164" s="20">
        <f>IF(COUNT(E164,G164)&lt;2,"",ROUND(E164*G164,2))</f>
        <v/>
      </c>
      <c r="J164" s="20">
        <f>IF(AND(ISNUMBER(G164),ISNUMBER(I164)),IF(I164&gt;0,ROUND(G164/I164,2),""),"")</f>
        <v/>
      </c>
    </row>
    <row r="165">
      <c r="A165" s="18" t="n"/>
      <c r="G165" s="19" t="n"/>
      <c r="H165" s="20">
        <f>IF(COUNT(E165,G165)&lt;2,"",ROUND(E165*G165,2))</f>
        <v/>
      </c>
      <c r="J165" s="20">
        <f>IF(AND(ISNUMBER(G165),ISNUMBER(I165)),IF(I165&gt;0,ROUND(G165/I165,2),""),"")</f>
        <v/>
      </c>
    </row>
    <row r="166">
      <c r="A166" s="18" t="n"/>
      <c r="G166" s="19" t="n"/>
      <c r="H166" s="20">
        <f>IF(COUNT(E166,G166)&lt;2,"",ROUND(E166*G166,2))</f>
        <v/>
      </c>
      <c r="J166" s="20">
        <f>IF(AND(ISNUMBER(G166),ISNUMBER(I166)),IF(I166&gt;0,ROUND(G166/I166,2),""),"")</f>
        <v/>
      </c>
    </row>
    <row r="167">
      <c r="A167" s="18" t="n"/>
      <c r="G167" s="19" t="n"/>
      <c r="H167" s="20">
        <f>IF(COUNT(E167,G167)&lt;2,"",ROUND(E167*G167,2))</f>
        <v/>
      </c>
      <c r="J167" s="20">
        <f>IF(AND(ISNUMBER(G167),ISNUMBER(I167)),IF(I167&gt;0,ROUND(G167/I167,2),""),"")</f>
        <v/>
      </c>
    </row>
    <row r="168">
      <c r="A168" s="18" t="n"/>
      <c r="G168" s="19" t="n"/>
      <c r="H168" s="20">
        <f>IF(COUNT(E168,G168)&lt;2,"",ROUND(E168*G168,2))</f>
        <v/>
      </c>
      <c r="J168" s="20">
        <f>IF(AND(ISNUMBER(G168),ISNUMBER(I168)),IF(I168&gt;0,ROUND(G168/I168,2),""),"")</f>
        <v/>
      </c>
    </row>
    <row r="169">
      <c r="A169" s="18" t="n"/>
      <c r="G169" s="19" t="n"/>
      <c r="H169" s="20">
        <f>IF(COUNT(E169,G169)&lt;2,"",ROUND(E169*G169,2))</f>
        <v/>
      </c>
      <c r="J169" s="20">
        <f>IF(AND(ISNUMBER(G169),ISNUMBER(I169)),IF(I169&gt;0,ROUND(G169/I169,2),""),"")</f>
        <v/>
      </c>
    </row>
    <row r="170">
      <c r="A170" s="18" t="n"/>
      <c r="G170" s="19" t="n"/>
      <c r="H170" s="20">
        <f>IF(COUNT(E170,G170)&lt;2,"",ROUND(E170*G170,2))</f>
        <v/>
      </c>
      <c r="J170" s="20">
        <f>IF(AND(ISNUMBER(G170),ISNUMBER(I170)),IF(I170&gt;0,ROUND(G170/I170,2),""),"")</f>
        <v/>
      </c>
    </row>
    <row r="171">
      <c r="A171" s="18" t="n"/>
      <c r="G171" s="19" t="n"/>
      <c r="H171" s="20">
        <f>IF(COUNT(E171,G171)&lt;2,"",ROUND(E171*G171,2))</f>
        <v/>
      </c>
      <c r="J171" s="20">
        <f>IF(AND(ISNUMBER(G171),ISNUMBER(I171)),IF(I171&gt;0,ROUND(G171/I171,2),""),"")</f>
        <v/>
      </c>
    </row>
    <row r="172">
      <c r="A172" s="18" t="n"/>
      <c r="G172" s="19" t="n"/>
      <c r="H172" s="20">
        <f>IF(COUNT(E172,G172)&lt;2,"",ROUND(E172*G172,2))</f>
        <v/>
      </c>
      <c r="J172" s="20">
        <f>IF(AND(ISNUMBER(G172),ISNUMBER(I172)),IF(I172&gt;0,ROUND(G172/I172,2),""),"")</f>
        <v/>
      </c>
    </row>
    <row r="173">
      <c r="A173" s="18" t="n"/>
      <c r="G173" s="19" t="n"/>
      <c r="H173" s="20">
        <f>IF(COUNT(E173,G173)&lt;2,"",ROUND(E173*G173,2))</f>
        <v/>
      </c>
      <c r="J173" s="20">
        <f>IF(AND(ISNUMBER(G173),ISNUMBER(I173)),IF(I173&gt;0,ROUND(G173/I173,2),""),"")</f>
        <v/>
      </c>
    </row>
    <row r="174">
      <c r="A174" s="18" t="n"/>
      <c r="G174" s="19" t="n"/>
      <c r="H174" s="20">
        <f>IF(COUNT(E174,G174)&lt;2,"",ROUND(E174*G174,2))</f>
        <v/>
      </c>
      <c r="J174" s="20">
        <f>IF(AND(ISNUMBER(G174),ISNUMBER(I174)),IF(I174&gt;0,ROUND(G174/I174,2),""),"")</f>
        <v/>
      </c>
    </row>
    <row r="175">
      <c r="A175" s="18" t="n"/>
      <c r="G175" s="19" t="n"/>
      <c r="H175" s="20">
        <f>IF(COUNT(E175,G175)&lt;2,"",ROUND(E175*G175,2))</f>
        <v/>
      </c>
      <c r="J175" s="20">
        <f>IF(AND(ISNUMBER(G175),ISNUMBER(I175)),IF(I175&gt;0,ROUND(G175/I175,2),""),"")</f>
        <v/>
      </c>
    </row>
    <row r="176">
      <c r="A176" s="18" t="n"/>
      <c r="G176" s="19" t="n"/>
      <c r="H176" s="20">
        <f>IF(COUNT(E176,G176)&lt;2,"",ROUND(E176*G176,2))</f>
        <v/>
      </c>
      <c r="J176" s="20">
        <f>IF(AND(ISNUMBER(G176),ISNUMBER(I176)),IF(I176&gt;0,ROUND(G176/I176,2),""),"")</f>
        <v/>
      </c>
    </row>
    <row r="177">
      <c r="A177" s="18" t="n"/>
      <c r="G177" s="19" t="n"/>
      <c r="H177" s="20">
        <f>IF(COUNT(E177,G177)&lt;2,"",ROUND(E177*G177,2))</f>
        <v/>
      </c>
      <c r="J177" s="20">
        <f>IF(AND(ISNUMBER(G177),ISNUMBER(I177)),IF(I177&gt;0,ROUND(G177/I177,2),""),"")</f>
        <v/>
      </c>
    </row>
    <row r="178">
      <c r="A178" s="18" t="n"/>
      <c r="G178" s="19" t="n"/>
      <c r="H178" s="20">
        <f>IF(COUNT(E178,G178)&lt;2,"",ROUND(E178*G178,2))</f>
        <v/>
      </c>
      <c r="J178" s="20">
        <f>IF(AND(ISNUMBER(G178),ISNUMBER(I178)),IF(I178&gt;0,ROUND(G178/I178,2),""),"")</f>
        <v/>
      </c>
    </row>
    <row r="179">
      <c r="A179" s="18" t="n"/>
      <c r="G179" s="19" t="n"/>
      <c r="H179" s="20">
        <f>IF(COUNT(E179,G179)&lt;2,"",ROUND(E179*G179,2))</f>
        <v/>
      </c>
      <c r="J179" s="20">
        <f>IF(AND(ISNUMBER(G179),ISNUMBER(I179)),IF(I179&gt;0,ROUND(G179/I179,2),""),"")</f>
        <v/>
      </c>
    </row>
    <row r="180">
      <c r="A180" s="18" t="n"/>
      <c r="G180" s="19" t="n"/>
      <c r="H180" s="20">
        <f>IF(COUNT(E180,G180)&lt;2,"",ROUND(E180*G180,2))</f>
        <v/>
      </c>
      <c r="J180" s="20">
        <f>IF(AND(ISNUMBER(G180),ISNUMBER(I180)),IF(I180&gt;0,ROUND(G180/I180,2),""),"")</f>
        <v/>
      </c>
    </row>
    <row r="181">
      <c r="A181" s="18" t="n"/>
      <c r="G181" s="19" t="n"/>
      <c r="H181" s="20">
        <f>IF(COUNT(E181,G181)&lt;2,"",ROUND(E181*G181,2))</f>
        <v/>
      </c>
      <c r="J181" s="20">
        <f>IF(AND(ISNUMBER(G181),ISNUMBER(I181)),IF(I181&gt;0,ROUND(G181/I181,2),""),"")</f>
        <v/>
      </c>
    </row>
    <row r="182">
      <c r="A182" s="18" t="n"/>
      <c r="G182" s="19" t="n"/>
      <c r="H182" s="20">
        <f>IF(COUNT(E182,G182)&lt;2,"",ROUND(E182*G182,2))</f>
        <v/>
      </c>
      <c r="J182" s="20">
        <f>IF(AND(ISNUMBER(G182),ISNUMBER(I182)),IF(I182&gt;0,ROUND(G182/I182,2),""),"")</f>
        <v/>
      </c>
    </row>
    <row r="183">
      <c r="A183" s="18" t="n"/>
      <c r="G183" s="19" t="n"/>
      <c r="H183" s="20">
        <f>IF(COUNT(E183,G183)&lt;2,"",ROUND(E183*G183,2))</f>
        <v/>
      </c>
      <c r="J183" s="20">
        <f>IF(AND(ISNUMBER(G183),ISNUMBER(I183)),IF(I183&gt;0,ROUND(G183/I183,2),""),"")</f>
        <v/>
      </c>
    </row>
    <row r="184">
      <c r="A184" s="18" t="n"/>
      <c r="G184" s="19" t="n"/>
      <c r="H184" s="20">
        <f>IF(COUNT(E184,G184)&lt;2,"",ROUND(E184*G184,2))</f>
        <v/>
      </c>
      <c r="J184" s="20">
        <f>IF(AND(ISNUMBER(G184),ISNUMBER(I184)),IF(I184&gt;0,ROUND(G184/I184,2),""),"")</f>
        <v/>
      </c>
    </row>
    <row r="185">
      <c r="A185" s="18" t="n"/>
      <c r="G185" s="19" t="n"/>
      <c r="H185" s="20">
        <f>IF(COUNT(E185,G185)&lt;2,"",ROUND(E185*G185,2))</f>
        <v/>
      </c>
      <c r="J185" s="20">
        <f>IF(AND(ISNUMBER(G185),ISNUMBER(I185)),IF(I185&gt;0,ROUND(G185/I185,2),""),"")</f>
        <v/>
      </c>
    </row>
    <row r="186">
      <c r="A186" s="18" t="n"/>
      <c r="G186" s="19" t="n"/>
      <c r="H186" s="20">
        <f>IF(COUNT(E186,G186)&lt;2,"",ROUND(E186*G186,2))</f>
        <v/>
      </c>
      <c r="J186" s="20">
        <f>IF(AND(ISNUMBER(G186),ISNUMBER(I186)),IF(I186&gt;0,ROUND(G186/I186,2),""),"")</f>
        <v/>
      </c>
    </row>
    <row r="187">
      <c r="A187" s="18" t="n"/>
      <c r="G187" s="19" t="n"/>
      <c r="H187" s="20">
        <f>IF(COUNT(E187,G187)&lt;2,"",ROUND(E187*G187,2))</f>
        <v/>
      </c>
      <c r="J187" s="20">
        <f>IF(AND(ISNUMBER(G187),ISNUMBER(I187)),IF(I187&gt;0,ROUND(G187/I187,2),""),"")</f>
        <v/>
      </c>
    </row>
    <row r="188">
      <c r="A188" s="18" t="n"/>
      <c r="G188" s="19" t="n"/>
      <c r="H188" s="20">
        <f>IF(COUNT(E188,G188)&lt;2,"",ROUND(E188*G188,2))</f>
        <v/>
      </c>
      <c r="J188" s="20">
        <f>IF(AND(ISNUMBER(G188),ISNUMBER(I188)),IF(I188&gt;0,ROUND(G188/I188,2),""),"")</f>
        <v/>
      </c>
    </row>
    <row r="189">
      <c r="A189" s="18" t="n"/>
      <c r="G189" s="19" t="n"/>
      <c r="H189" s="20">
        <f>IF(COUNT(E189,G189)&lt;2,"",ROUND(E189*G189,2))</f>
        <v/>
      </c>
      <c r="J189" s="20">
        <f>IF(AND(ISNUMBER(G189),ISNUMBER(I189)),IF(I189&gt;0,ROUND(G189/I189,2),""),"")</f>
        <v/>
      </c>
    </row>
    <row r="190">
      <c r="A190" s="18" t="n"/>
      <c r="G190" s="19" t="n"/>
      <c r="H190" s="20">
        <f>IF(COUNT(E190,G190)&lt;2,"",ROUND(E190*G190,2))</f>
        <v/>
      </c>
      <c r="J190" s="20">
        <f>IF(AND(ISNUMBER(G190),ISNUMBER(I190)),IF(I190&gt;0,ROUND(G190/I190,2),""),"")</f>
        <v/>
      </c>
    </row>
    <row r="191">
      <c r="A191" s="18" t="n"/>
      <c r="G191" s="19" t="n"/>
      <c r="H191" s="20">
        <f>IF(COUNT(E191,G191)&lt;2,"",ROUND(E191*G191,2))</f>
        <v/>
      </c>
      <c r="J191" s="20">
        <f>IF(AND(ISNUMBER(G191),ISNUMBER(I191)),IF(I191&gt;0,ROUND(G191/I191,2),""),"")</f>
        <v/>
      </c>
    </row>
    <row r="192">
      <c r="A192" s="18" t="n"/>
      <c r="G192" s="19" t="n"/>
      <c r="H192" s="20">
        <f>IF(COUNT(E192,G192)&lt;2,"",ROUND(E192*G192,2))</f>
        <v/>
      </c>
      <c r="J192" s="20">
        <f>IF(AND(ISNUMBER(G192),ISNUMBER(I192)),IF(I192&gt;0,ROUND(G192/I192,2),""),"")</f>
        <v/>
      </c>
    </row>
    <row r="193">
      <c r="A193" s="18" t="n"/>
      <c r="G193" s="19" t="n"/>
      <c r="H193" s="20">
        <f>IF(COUNT(E193,G193)&lt;2,"",ROUND(E193*G193,2))</f>
        <v/>
      </c>
      <c r="J193" s="20">
        <f>IF(AND(ISNUMBER(G193),ISNUMBER(I193)),IF(I193&gt;0,ROUND(G193/I193,2),""),"")</f>
        <v/>
      </c>
    </row>
    <row r="194">
      <c r="A194" s="18" t="n"/>
      <c r="G194" s="19" t="n"/>
      <c r="H194" s="20">
        <f>IF(COUNT(E194,G194)&lt;2,"",ROUND(E194*G194,2))</f>
        <v/>
      </c>
      <c r="J194" s="20">
        <f>IF(AND(ISNUMBER(G194),ISNUMBER(I194)),IF(I194&gt;0,ROUND(G194/I194,2),""),"")</f>
        <v/>
      </c>
    </row>
    <row r="195">
      <c r="A195" s="18" t="n"/>
      <c r="G195" s="19" t="n"/>
      <c r="H195" s="20">
        <f>IF(COUNT(E195,G195)&lt;2,"",ROUND(E195*G195,2))</f>
        <v/>
      </c>
      <c r="J195" s="20">
        <f>IF(AND(ISNUMBER(G195),ISNUMBER(I195)),IF(I195&gt;0,ROUND(G195/I195,2),""),"")</f>
        <v/>
      </c>
    </row>
    <row r="196">
      <c r="A196" s="18" t="n"/>
      <c r="G196" s="19" t="n"/>
      <c r="H196" s="20">
        <f>IF(COUNT(E196,G196)&lt;2,"",ROUND(E196*G196,2))</f>
        <v/>
      </c>
      <c r="J196" s="20">
        <f>IF(AND(ISNUMBER(G196),ISNUMBER(I196)),IF(I196&gt;0,ROUND(G196/I196,2),""),"")</f>
        <v/>
      </c>
    </row>
    <row r="197">
      <c r="A197" s="18" t="n"/>
      <c r="G197" s="19" t="n"/>
      <c r="H197" s="20">
        <f>IF(COUNT(E197,G197)&lt;2,"",ROUND(E197*G197,2))</f>
        <v/>
      </c>
      <c r="J197" s="20">
        <f>IF(AND(ISNUMBER(G197),ISNUMBER(I197)),IF(I197&gt;0,ROUND(G197/I197,2),""),"")</f>
        <v/>
      </c>
    </row>
    <row r="198">
      <c r="A198" s="18" t="n"/>
      <c r="G198" s="19" t="n"/>
      <c r="H198" s="20">
        <f>IF(COUNT(E198,G198)&lt;2,"",ROUND(E198*G198,2))</f>
        <v/>
      </c>
      <c r="J198" s="20">
        <f>IF(AND(ISNUMBER(G198),ISNUMBER(I198)),IF(I198&gt;0,ROUND(G198/I198,2),""),"")</f>
        <v/>
      </c>
    </row>
    <row r="199">
      <c r="A199" s="18" t="n"/>
      <c r="G199" s="19" t="n"/>
      <c r="H199" s="20">
        <f>IF(COUNT(E199,G199)&lt;2,"",ROUND(E199*G199,2))</f>
        <v/>
      </c>
      <c r="J199" s="20">
        <f>IF(AND(ISNUMBER(G199),ISNUMBER(I199)),IF(I199&gt;0,ROUND(G199/I199,2),""),"")</f>
        <v/>
      </c>
    </row>
    <row r="200">
      <c r="A200" s="18" t="n"/>
      <c r="G200" s="19" t="n"/>
      <c r="H200" s="20">
        <f>IF(COUNT(E200,G200)&lt;2,"",ROUND(E200*G200,2))</f>
        <v/>
      </c>
      <c r="J200" s="20">
        <f>IF(AND(ISNUMBER(G200),ISNUMBER(I200)),IF(I200&gt;0,ROUND(G200/I200,2),""),"")</f>
        <v/>
      </c>
    </row>
    <row r="201">
      <c r="A201" s="18" t="n"/>
      <c r="G201" s="19" t="n"/>
      <c r="H201" s="20">
        <f>IF(COUNT(E201,G201)&lt;2,"",ROUND(E201*G201,2))</f>
        <v/>
      </c>
      <c r="J201" s="20">
        <f>IF(AND(ISNUMBER(G201),ISNUMBER(I201)),IF(I201&gt;0,ROUND(G201/I201,2),""),"")</f>
        <v/>
      </c>
    </row>
    <row r="202">
      <c r="A202" s="18" t="n"/>
      <c r="G202" s="19" t="n"/>
      <c r="H202" s="20">
        <f>IF(COUNT(E202,G202)&lt;2,"",ROUND(E202*G202,2))</f>
        <v/>
      </c>
      <c r="J202" s="20">
        <f>IF(AND(ISNUMBER(G202),ISNUMBER(I202)),IF(I202&gt;0,ROUND(G202/I202,2),""),"")</f>
        <v/>
      </c>
    </row>
    <row r="203">
      <c r="A203" s="18" t="n"/>
      <c r="G203" s="19" t="n"/>
      <c r="H203" s="20">
        <f>IF(COUNT(E203,G203)&lt;2,"",ROUND(E203*G203,2))</f>
        <v/>
      </c>
      <c r="J203" s="20">
        <f>IF(AND(ISNUMBER(G203),ISNUMBER(I203)),IF(I203&gt;0,ROUND(G203/I203,2),""),"")</f>
        <v/>
      </c>
    </row>
    <row r="204">
      <c r="A204" s="18" t="n"/>
      <c r="G204" s="19" t="n"/>
      <c r="H204" s="20">
        <f>IF(COUNT(E204,G204)&lt;2,"",ROUND(E204*G204,2))</f>
        <v/>
      </c>
      <c r="J204" s="20">
        <f>IF(AND(ISNUMBER(G204),ISNUMBER(I204)),IF(I204&gt;0,ROUND(G204/I204,2),""),"")</f>
        <v/>
      </c>
    </row>
    <row r="205">
      <c r="A205" s="18" t="n"/>
      <c r="G205" s="19" t="n"/>
      <c r="H205" s="20">
        <f>IF(COUNT(E205,G205)&lt;2,"",ROUND(E205*G205,2))</f>
        <v/>
      </c>
      <c r="J205" s="20">
        <f>IF(AND(ISNUMBER(G205),ISNUMBER(I205)),IF(I205&gt;0,ROUND(G205/I205,2),""),"")</f>
        <v/>
      </c>
    </row>
    <row r="206">
      <c r="A206" s="18" t="n"/>
      <c r="G206" s="19" t="n"/>
      <c r="H206" s="20">
        <f>IF(COUNT(E206,G206)&lt;2,"",ROUND(E206*G206,2))</f>
        <v/>
      </c>
      <c r="J206" s="20">
        <f>IF(AND(ISNUMBER(G206),ISNUMBER(I206)),IF(I206&gt;0,ROUND(G206/I206,2),""),"")</f>
        <v/>
      </c>
    </row>
    <row r="207">
      <c r="A207" s="18" t="n"/>
      <c r="G207" s="19" t="n"/>
      <c r="H207" s="20">
        <f>IF(COUNT(E207,G207)&lt;2,"",ROUND(E207*G207,2))</f>
        <v/>
      </c>
      <c r="J207" s="20">
        <f>IF(AND(ISNUMBER(G207),ISNUMBER(I207)),IF(I207&gt;0,ROUND(G207/I207,2),""),"")</f>
        <v/>
      </c>
    </row>
    <row r="208">
      <c r="A208" s="18" t="n"/>
      <c r="G208" s="19" t="n"/>
      <c r="H208" s="20">
        <f>IF(COUNT(E208,G208)&lt;2,"",ROUND(E208*G208,2))</f>
        <v/>
      </c>
      <c r="J208" s="20">
        <f>IF(AND(ISNUMBER(G208),ISNUMBER(I208)),IF(I208&gt;0,ROUND(G208/I208,2),""),"")</f>
        <v/>
      </c>
    </row>
    <row r="209">
      <c r="A209" s="18" t="n"/>
      <c r="G209" s="19" t="n"/>
      <c r="H209" s="20">
        <f>IF(COUNT(E209,G209)&lt;2,"",ROUND(E209*G209,2))</f>
        <v/>
      </c>
      <c r="J209" s="20">
        <f>IF(AND(ISNUMBER(G209),ISNUMBER(I209)),IF(I209&gt;0,ROUND(G209/I209,2),""),"")</f>
        <v/>
      </c>
    </row>
    <row r="210">
      <c r="A210" s="18" t="n"/>
      <c r="G210" s="19" t="n"/>
      <c r="H210" s="20">
        <f>IF(COUNT(E210,G210)&lt;2,"",ROUND(E210*G210,2))</f>
        <v/>
      </c>
      <c r="J210" s="20">
        <f>IF(AND(ISNUMBER(G210),ISNUMBER(I210)),IF(I210&gt;0,ROUND(G210/I210,2),""),"")</f>
        <v/>
      </c>
    </row>
    <row r="211">
      <c r="A211" s="18" t="n"/>
      <c r="G211" s="19" t="n"/>
      <c r="H211" s="20">
        <f>IF(COUNT(E211,G211)&lt;2,"",ROUND(E211*G211,2))</f>
        <v/>
      </c>
      <c r="J211" s="20">
        <f>IF(AND(ISNUMBER(G211),ISNUMBER(I211)),IF(I211&gt;0,ROUND(G211/I211,2),""),"")</f>
        <v/>
      </c>
    </row>
    <row r="212">
      <c r="A212" s="18" t="n"/>
      <c r="G212" s="19" t="n"/>
      <c r="H212" s="20">
        <f>IF(COUNT(E212,G212)&lt;2,"",ROUND(E212*G212,2))</f>
        <v/>
      </c>
      <c r="J212" s="20">
        <f>IF(AND(ISNUMBER(G212),ISNUMBER(I212)),IF(I212&gt;0,ROUND(G212/I212,2),""),"")</f>
        <v/>
      </c>
    </row>
    <row r="213">
      <c r="A213" s="18" t="n"/>
      <c r="G213" s="19" t="n"/>
      <c r="H213" s="20">
        <f>IF(COUNT(E213,G213)&lt;2,"",ROUND(E213*G213,2))</f>
        <v/>
      </c>
      <c r="J213" s="20">
        <f>IF(AND(ISNUMBER(G213),ISNUMBER(I213)),IF(I213&gt;0,ROUND(G213/I213,2),""),"")</f>
        <v/>
      </c>
    </row>
    <row r="214">
      <c r="A214" s="18" t="n"/>
      <c r="G214" s="19" t="n"/>
      <c r="H214" s="20">
        <f>IF(COUNT(E214,G214)&lt;2,"",ROUND(E214*G214,2))</f>
        <v/>
      </c>
      <c r="J214" s="20">
        <f>IF(AND(ISNUMBER(G214),ISNUMBER(I214)),IF(I214&gt;0,ROUND(G214/I214,2),""),"")</f>
        <v/>
      </c>
    </row>
    <row r="215">
      <c r="A215" s="18" t="n"/>
      <c r="G215" s="19" t="n"/>
      <c r="H215" s="20">
        <f>IF(COUNT(E215,G215)&lt;2,"",ROUND(E215*G215,2))</f>
        <v/>
      </c>
      <c r="J215" s="20">
        <f>IF(AND(ISNUMBER(G215),ISNUMBER(I215)),IF(I215&gt;0,ROUND(G215/I215,2),""),"")</f>
        <v/>
      </c>
    </row>
    <row r="216">
      <c r="A216" s="18" t="n"/>
      <c r="G216" s="19" t="n"/>
      <c r="H216" s="20">
        <f>IF(COUNT(E216,G216)&lt;2,"",ROUND(E216*G216,2))</f>
        <v/>
      </c>
      <c r="J216" s="20">
        <f>IF(AND(ISNUMBER(G216),ISNUMBER(I216)),IF(I216&gt;0,ROUND(G216/I216,2),""),"")</f>
        <v/>
      </c>
    </row>
    <row r="217">
      <c r="A217" s="18" t="n"/>
      <c r="G217" s="19" t="n"/>
      <c r="H217" s="20">
        <f>IF(COUNT(E217,G217)&lt;2,"",ROUND(E217*G217,2))</f>
        <v/>
      </c>
      <c r="J217" s="20">
        <f>IF(AND(ISNUMBER(G217),ISNUMBER(I217)),IF(I217&gt;0,ROUND(G217/I217,2),""),"")</f>
        <v/>
      </c>
    </row>
    <row r="218">
      <c r="A218" s="18" t="n"/>
      <c r="G218" s="19" t="n"/>
      <c r="H218" s="20">
        <f>IF(COUNT(E218,G218)&lt;2,"",ROUND(E218*G218,2))</f>
        <v/>
      </c>
      <c r="J218" s="20">
        <f>IF(AND(ISNUMBER(G218),ISNUMBER(I218)),IF(I218&gt;0,ROUND(G218/I218,2),""),"")</f>
        <v/>
      </c>
    </row>
    <row r="219">
      <c r="A219" s="18" t="n"/>
      <c r="G219" s="19" t="n"/>
      <c r="H219" s="20">
        <f>IF(COUNT(E219,G219)&lt;2,"",ROUND(E219*G219,2))</f>
        <v/>
      </c>
      <c r="J219" s="20">
        <f>IF(AND(ISNUMBER(G219),ISNUMBER(I219)),IF(I219&gt;0,ROUND(G219/I219,2),""),"")</f>
        <v/>
      </c>
    </row>
    <row r="220">
      <c r="A220" s="18" t="n"/>
      <c r="G220" s="19" t="n"/>
      <c r="H220" s="20">
        <f>IF(COUNT(E220,G220)&lt;2,"",ROUND(E220*G220,2))</f>
        <v/>
      </c>
      <c r="J220" s="20">
        <f>IF(AND(ISNUMBER(G220),ISNUMBER(I220)),IF(I220&gt;0,ROUND(G220/I220,2),""),"")</f>
        <v/>
      </c>
    </row>
    <row r="221">
      <c r="A221" s="18" t="n"/>
      <c r="G221" s="19" t="n"/>
      <c r="H221" s="20">
        <f>IF(COUNT(E221,G221)&lt;2,"",ROUND(E221*G221,2))</f>
        <v/>
      </c>
      <c r="J221" s="20">
        <f>IF(AND(ISNUMBER(G221),ISNUMBER(I221)),IF(I221&gt;0,ROUND(G221/I221,2),""),"")</f>
        <v/>
      </c>
    </row>
    <row r="222">
      <c r="A222" s="18" t="n"/>
      <c r="G222" s="19" t="n"/>
      <c r="H222" s="20">
        <f>IF(COUNT(E222,G222)&lt;2,"",ROUND(E222*G222,2))</f>
        <v/>
      </c>
      <c r="J222" s="20">
        <f>IF(AND(ISNUMBER(G222),ISNUMBER(I222)),IF(I222&gt;0,ROUND(G222/I222,2),""),"")</f>
        <v/>
      </c>
    </row>
    <row r="223">
      <c r="A223" s="18" t="n"/>
      <c r="G223" s="19" t="n"/>
      <c r="H223" s="20">
        <f>IF(COUNT(E223,G223)&lt;2,"",ROUND(E223*G223,2))</f>
        <v/>
      </c>
      <c r="J223" s="20">
        <f>IF(AND(ISNUMBER(G223),ISNUMBER(I223)),IF(I223&gt;0,ROUND(G223/I223,2),""),"")</f>
        <v/>
      </c>
    </row>
    <row r="224">
      <c r="A224" s="18" t="n"/>
      <c r="G224" s="19" t="n"/>
      <c r="H224" s="20">
        <f>IF(COUNT(E224,G224)&lt;2,"",ROUND(E224*G224,2))</f>
        <v/>
      </c>
      <c r="J224" s="20">
        <f>IF(AND(ISNUMBER(G224),ISNUMBER(I224)),IF(I224&gt;0,ROUND(G224/I224,2),""),"")</f>
        <v/>
      </c>
    </row>
    <row r="225">
      <c r="A225" s="18" t="n"/>
      <c r="G225" s="19" t="n"/>
      <c r="H225" s="20">
        <f>IF(COUNT(E225,G225)&lt;2,"",ROUND(E225*G225,2))</f>
        <v/>
      </c>
      <c r="J225" s="20">
        <f>IF(AND(ISNUMBER(G225),ISNUMBER(I225)),IF(I225&gt;0,ROUND(G225/I225,2),""),"")</f>
        <v/>
      </c>
    </row>
    <row r="226">
      <c r="A226" s="18" t="n"/>
      <c r="G226" s="19" t="n"/>
      <c r="H226" s="20">
        <f>IF(COUNT(E226,G226)&lt;2,"",ROUND(E226*G226,2))</f>
        <v/>
      </c>
      <c r="J226" s="20">
        <f>IF(AND(ISNUMBER(G226),ISNUMBER(I226)),IF(I226&gt;0,ROUND(G226/I226,2),""),"")</f>
        <v/>
      </c>
    </row>
    <row r="227">
      <c r="A227" s="18" t="n"/>
      <c r="G227" s="19" t="n"/>
      <c r="H227" s="20">
        <f>IF(COUNT(E227,G227)&lt;2,"",ROUND(E227*G227,2))</f>
        <v/>
      </c>
      <c r="J227" s="20">
        <f>IF(AND(ISNUMBER(G227),ISNUMBER(I227)),IF(I227&gt;0,ROUND(G227/I227,2),""),"")</f>
        <v/>
      </c>
    </row>
    <row r="228">
      <c r="A228" s="18" t="n"/>
      <c r="G228" s="19" t="n"/>
      <c r="H228" s="20">
        <f>IF(COUNT(E228,G228)&lt;2,"",ROUND(E228*G228,2))</f>
        <v/>
      </c>
      <c r="J228" s="20">
        <f>IF(AND(ISNUMBER(G228),ISNUMBER(I228)),IF(I228&gt;0,ROUND(G228/I228,2),""),"")</f>
        <v/>
      </c>
    </row>
    <row r="229">
      <c r="A229" s="18" t="n"/>
      <c r="G229" s="19" t="n"/>
      <c r="H229" s="20">
        <f>IF(COUNT(E229,G229)&lt;2,"",ROUND(E229*G229,2))</f>
        <v/>
      </c>
      <c r="J229" s="20">
        <f>IF(AND(ISNUMBER(G229),ISNUMBER(I229)),IF(I229&gt;0,ROUND(G229/I229,2),""),"")</f>
        <v/>
      </c>
    </row>
    <row r="230">
      <c r="A230" s="18" t="n"/>
      <c r="G230" s="19" t="n"/>
      <c r="H230" s="20">
        <f>IF(COUNT(E230,G230)&lt;2,"",ROUND(E230*G230,2))</f>
        <v/>
      </c>
      <c r="J230" s="20">
        <f>IF(AND(ISNUMBER(G230),ISNUMBER(I230)),IF(I230&gt;0,ROUND(G230/I230,2),""),"")</f>
        <v/>
      </c>
    </row>
    <row r="231">
      <c r="A231" s="18" t="n"/>
      <c r="G231" s="19" t="n"/>
      <c r="H231" s="20">
        <f>IF(COUNT(E231,G231)&lt;2,"",ROUND(E231*G231,2))</f>
        <v/>
      </c>
      <c r="J231" s="20">
        <f>IF(AND(ISNUMBER(G231),ISNUMBER(I231)),IF(I231&gt;0,ROUND(G231/I231,2),""),"")</f>
        <v/>
      </c>
    </row>
    <row r="232">
      <c r="A232" s="18" t="n"/>
      <c r="G232" s="19" t="n"/>
      <c r="H232" s="20">
        <f>IF(COUNT(E232,G232)&lt;2,"",ROUND(E232*G232,2))</f>
        <v/>
      </c>
      <c r="J232" s="20">
        <f>IF(AND(ISNUMBER(G232),ISNUMBER(I232)),IF(I232&gt;0,ROUND(G232/I232,2),""),"")</f>
        <v/>
      </c>
    </row>
    <row r="233">
      <c r="A233" s="18" t="n"/>
      <c r="G233" s="19" t="n"/>
      <c r="H233" s="20">
        <f>IF(COUNT(E233,G233)&lt;2,"",ROUND(E233*G233,2))</f>
        <v/>
      </c>
      <c r="J233" s="20">
        <f>IF(AND(ISNUMBER(G233),ISNUMBER(I233)),IF(I233&gt;0,ROUND(G233/I233,2),""),"")</f>
        <v/>
      </c>
    </row>
    <row r="234">
      <c r="A234" s="18" t="n"/>
      <c r="G234" s="19" t="n"/>
      <c r="H234" s="20">
        <f>IF(COUNT(E234,G234)&lt;2,"",ROUND(E234*G234,2))</f>
        <v/>
      </c>
      <c r="J234" s="20">
        <f>IF(AND(ISNUMBER(G234),ISNUMBER(I234)),IF(I234&gt;0,ROUND(G234/I234,2),""),"")</f>
        <v/>
      </c>
    </row>
    <row r="235">
      <c r="A235" s="18" t="n"/>
      <c r="G235" s="19" t="n"/>
      <c r="H235" s="20">
        <f>IF(COUNT(E235,G235)&lt;2,"",ROUND(E235*G235,2))</f>
        <v/>
      </c>
      <c r="J235" s="20">
        <f>IF(AND(ISNUMBER(G235),ISNUMBER(I235)),IF(I235&gt;0,ROUND(G235/I235,2),""),"")</f>
        <v/>
      </c>
    </row>
    <row r="236">
      <c r="A236" s="18" t="n"/>
      <c r="G236" s="19" t="n"/>
      <c r="H236" s="20">
        <f>IF(COUNT(E236,G236)&lt;2,"",ROUND(E236*G236,2))</f>
        <v/>
      </c>
      <c r="J236" s="20">
        <f>IF(AND(ISNUMBER(G236),ISNUMBER(I236)),IF(I236&gt;0,ROUND(G236/I236,2),""),"")</f>
        <v/>
      </c>
    </row>
    <row r="237">
      <c r="A237" s="18" t="n"/>
      <c r="G237" s="19" t="n"/>
      <c r="H237" s="20">
        <f>IF(COUNT(E237,G237)&lt;2,"",ROUND(E237*G237,2))</f>
        <v/>
      </c>
      <c r="J237" s="20">
        <f>IF(AND(ISNUMBER(G237),ISNUMBER(I237)),IF(I237&gt;0,ROUND(G237/I237,2),""),"")</f>
        <v/>
      </c>
    </row>
    <row r="238">
      <c r="A238" s="18" t="n"/>
      <c r="G238" s="19" t="n"/>
      <c r="H238" s="20">
        <f>IF(COUNT(E238,G238)&lt;2,"",ROUND(E238*G238,2))</f>
        <v/>
      </c>
      <c r="J238" s="20">
        <f>IF(AND(ISNUMBER(G238),ISNUMBER(I238)),IF(I238&gt;0,ROUND(G238/I238,2),""),"")</f>
        <v/>
      </c>
    </row>
    <row r="239">
      <c r="A239" s="18" t="n"/>
      <c r="G239" s="19" t="n"/>
      <c r="H239" s="20">
        <f>IF(COUNT(E239,G239)&lt;2,"",ROUND(E239*G239,2))</f>
        <v/>
      </c>
      <c r="J239" s="20">
        <f>IF(AND(ISNUMBER(G239),ISNUMBER(I239)),IF(I239&gt;0,ROUND(G239/I239,2),""),"")</f>
        <v/>
      </c>
    </row>
    <row r="240">
      <c r="A240" s="18" t="n"/>
      <c r="G240" s="19" t="n"/>
      <c r="H240" s="20">
        <f>IF(COUNT(E240,G240)&lt;2,"",ROUND(E240*G240,2))</f>
        <v/>
      </c>
      <c r="J240" s="20">
        <f>IF(AND(ISNUMBER(G240),ISNUMBER(I240)),IF(I240&gt;0,ROUND(G240/I240,2),""),"")</f>
        <v/>
      </c>
    </row>
    <row r="241">
      <c r="A241" s="18" t="n"/>
      <c r="G241" s="19" t="n"/>
      <c r="H241" s="20">
        <f>IF(COUNT(E241,G241)&lt;2,"",ROUND(E241*G241,2))</f>
        <v/>
      </c>
      <c r="J241" s="20">
        <f>IF(AND(ISNUMBER(G241),ISNUMBER(I241)),IF(I241&gt;0,ROUND(G241/I241,2),""),"")</f>
        <v/>
      </c>
    </row>
    <row r="242">
      <c r="A242" s="18" t="n"/>
      <c r="G242" s="19" t="n"/>
      <c r="H242" s="20">
        <f>IF(COUNT(E242,G242)&lt;2,"",ROUND(E242*G242,2))</f>
        <v/>
      </c>
      <c r="J242" s="20">
        <f>IF(AND(ISNUMBER(G242),ISNUMBER(I242)),IF(I242&gt;0,ROUND(G242/I242,2),""),"")</f>
        <v/>
      </c>
    </row>
    <row r="243">
      <c r="A243" s="18" t="n"/>
      <c r="G243" s="19" t="n"/>
      <c r="H243" s="20">
        <f>IF(COUNT(E243,G243)&lt;2,"",ROUND(E243*G243,2))</f>
        <v/>
      </c>
      <c r="J243" s="20">
        <f>IF(AND(ISNUMBER(G243),ISNUMBER(I243)),IF(I243&gt;0,ROUND(G243/I243,2),""),"")</f>
        <v/>
      </c>
    </row>
    <row r="244">
      <c r="A244" s="18" t="n"/>
      <c r="G244" s="19" t="n"/>
      <c r="H244" s="20">
        <f>IF(COUNT(E244,G244)&lt;2,"",ROUND(E244*G244,2))</f>
        <v/>
      </c>
      <c r="J244" s="20">
        <f>IF(AND(ISNUMBER(G244),ISNUMBER(I244)),IF(I244&gt;0,ROUND(G244/I244,2),""),"")</f>
        <v/>
      </c>
    </row>
    <row r="245">
      <c r="A245" s="18" t="n"/>
      <c r="G245" s="19" t="n"/>
      <c r="H245" s="20">
        <f>IF(COUNT(E245,G245)&lt;2,"",ROUND(E245*G245,2))</f>
        <v/>
      </c>
      <c r="J245" s="20">
        <f>IF(AND(ISNUMBER(G245),ISNUMBER(I245)),IF(I245&gt;0,ROUND(G245/I245,2),""),"")</f>
        <v/>
      </c>
    </row>
    <row r="246">
      <c r="A246" s="18" t="n"/>
      <c r="G246" s="19" t="n"/>
      <c r="H246" s="20">
        <f>IF(COUNT(E246,G246)&lt;2,"",ROUND(E246*G246,2))</f>
        <v/>
      </c>
      <c r="J246" s="20">
        <f>IF(AND(ISNUMBER(G246),ISNUMBER(I246)),IF(I246&gt;0,ROUND(G246/I246,2),""),"")</f>
        <v/>
      </c>
    </row>
    <row r="247">
      <c r="A247" s="18" t="n"/>
      <c r="G247" s="19" t="n"/>
      <c r="H247" s="20">
        <f>IF(COUNT(E247,G247)&lt;2,"",ROUND(E247*G247,2))</f>
        <v/>
      </c>
      <c r="J247" s="20">
        <f>IF(AND(ISNUMBER(G247),ISNUMBER(I247)),IF(I247&gt;0,ROUND(G247/I247,2),""),"")</f>
        <v/>
      </c>
    </row>
    <row r="248">
      <c r="A248" s="18" t="n"/>
      <c r="G248" s="19" t="n"/>
      <c r="H248" s="20">
        <f>IF(COUNT(E248,G248)&lt;2,"",ROUND(E248*G248,2))</f>
        <v/>
      </c>
      <c r="J248" s="20">
        <f>IF(AND(ISNUMBER(G248),ISNUMBER(I248)),IF(I248&gt;0,ROUND(G248/I248,2),""),"")</f>
        <v/>
      </c>
    </row>
    <row r="249">
      <c r="A249" s="18" t="n"/>
      <c r="G249" s="19" t="n"/>
      <c r="H249" s="20">
        <f>IF(COUNT(E249,G249)&lt;2,"",ROUND(E249*G249,2))</f>
        <v/>
      </c>
      <c r="J249" s="20">
        <f>IF(AND(ISNUMBER(G249),ISNUMBER(I249)),IF(I249&gt;0,ROUND(G249/I249,2),""),"")</f>
        <v/>
      </c>
    </row>
    <row r="250">
      <c r="A250" s="18" t="n"/>
      <c r="G250" s="19" t="n"/>
      <c r="H250" s="20">
        <f>IF(COUNT(E250,G250)&lt;2,"",ROUND(E250*G250,2))</f>
        <v/>
      </c>
      <c r="J250" s="20">
        <f>IF(AND(ISNUMBER(G250),ISNUMBER(I250)),IF(I250&gt;0,ROUND(G250/I250,2),""),"")</f>
        <v/>
      </c>
    </row>
    <row r="251">
      <c r="A251" s="18" t="n"/>
      <c r="G251" s="19" t="n"/>
      <c r="H251" s="20">
        <f>IF(COUNT(E251,G251)&lt;2,"",ROUND(E251*G251,2))</f>
        <v/>
      </c>
      <c r="J251" s="20">
        <f>IF(AND(ISNUMBER(G251),ISNUMBER(I251)),IF(I251&gt;0,ROUND(G251/I251,2),""),"")</f>
        <v/>
      </c>
    </row>
    <row r="252">
      <c r="A252" s="18" t="n"/>
      <c r="G252" s="19" t="n"/>
      <c r="H252" s="20">
        <f>IF(COUNT(E252,G252)&lt;2,"",ROUND(E252*G252,2))</f>
        <v/>
      </c>
      <c r="J252" s="20">
        <f>IF(AND(ISNUMBER(G252),ISNUMBER(I252)),IF(I252&gt;0,ROUND(G252/I252,2),""),"")</f>
        <v/>
      </c>
    </row>
    <row r="253">
      <c r="A253" s="18" t="n"/>
      <c r="G253" s="19" t="n"/>
      <c r="H253" s="20">
        <f>IF(COUNT(E253,G253)&lt;2,"",ROUND(E253*G253,2))</f>
        <v/>
      </c>
      <c r="J253" s="20">
        <f>IF(AND(ISNUMBER(G253),ISNUMBER(I253)),IF(I253&gt;0,ROUND(G253/I253,2),""),"")</f>
        <v/>
      </c>
    </row>
    <row r="254">
      <c r="A254" s="18" t="n"/>
      <c r="G254" s="19" t="n"/>
      <c r="H254" s="20">
        <f>IF(COUNT(E254,G254)&lt;2,"",ROUND(E254*G254,2))</f>
        <v/>
      </c>
      <c r="J254" s="20">
        <f>IF(AND(ISNUMBER(G254),ISNUMBER(I254)),IF(I254&gt;0,ROUND(G254/I254,2),""),"")</f>
        <v/>
      </c>
    </row>
    <row r="255">
      <c r="A255" s="18" t="n"/>
      <c r="G255" s="19" t="n"/>
      <c r="H255" s="20">
        <f>IF(COUNT(E255,G255)&lt;2,"",ROUND(E255*G255,2))</f>
        <v/>
      </c>
      <c r="J255" s="20">
        <f>IF(AND(ISNUMBER(G255),ISNUMBER(I255)),IF(I255&gt;0,ROUND(G255/I255,2),""),"")</f>
        <v/>
      </c>
    </row>
    <row r="256">
      <c r="A256" s="18" t="n"/>
      <c r="G256" s="19" t="n"/>
      <c r="H256" s="20">
        <f>IF(COUNT(E256,G256)&lt;2,"",ROUND(E256*G256,2))</f>
        <v/>
      </c>
      <c r="J256" s="20">
        <f>IF(AND(ISNUMBER(G256),ISNUMBER(I256)),IF(I256&gt;0,ROUND(G256/I256,2),""),"")</f>
        <v/>
      </c>
    </row>
    <row r="257">
      <c r="A257" s="18" t="n"/>
      <c r="G257" s="19" t="n"/>
      <c r="H257" s="20">
        <f>IF(COUNT(E257,G257)&lt;2,"",ROUND(E257*G257,2))</f>
        <v/>
      </c>
      <c r="J257" s="20">
        <f>IF(AND(ISNUMBER(G257),ISNUMBER(I257)),IF(I257&gt;0,ROUND(G257/I257,2),""),"")</f>
        <v/>
      </c>
    </row>
    <row r="258">
      <c r="A258" s="18" t="n"/>
      <c r="G258" s="19" t="n"/>
      <c r="H258" s="20">
        <f>IF(COUNT(E258,G258)&lt;2,"",ROUND(E258*G258,2))</f>
        <v/>
      </c>
      <c r="J258" s="20">
        <f>IF(AND(ISNUMBER(G258),ISNUMBER(I258)),IF(I258&gt;0,ROUND(G258/I258,2),""),"")</f>
        <v/>
      </c>
    </row>
    <row r="259">
      <c r="A259" s="18" t="n"/>
      <c r="G259" s="19" t="n"/>
      <c r="H259" s="20">
        <f>IF(COUNT(E259,G259)&lt;2,"",ROUND(E259*G259,2))</f>
        <v/>
      </c>
      <c r="J259" s="20">
        <f>IF(AND(ISNUMBER(G259),ISNUMBER(I259)),IF(I259&gt;0,ROUND(G259/I259,2),""),"")</f>
        <v/>
      </c>
    </row>
    <row r="260">
      <c r="A260" s="18" t="n"/>
      <c r="G260" s="19" t="n"/>
      <c r="H260" s="20">
        <f>IF(COUNT(E260,G260)&lt;2,"",ROUND(E260*G260,2))</f>
        <v/>
      </c>
      <c r="J260" s="20">
        <f>IF(AND(ISNUMBER(G260),ISNUMBER(I260)),IF(I260&gt;0,ROUND(G260/I260,2),""),"")</f>
        <v/>
      </c>
    </row>
    <row r="261">
      <c r="A261" s="18" t="n"/>
      <c r="G261" s="19" t="n"/>
      <c r="H261" s="20">
        <f>IF(COUNT(E261,G261)&lt;2,"",ROUND(E261*G261,2))</f>
        <v/>
      </c>
      <c r="J261" s="20">
        <f>IF(AND(ISNUMBER(G261),ISNUMBER(I261)),IF(I261&gt;0,ROUND(G261/I261,2),""),"")</f>
        <v/>
      </c>
    </row>
    <row r="262">
      <c r="A262" s="18" t="n"/>
      <c r="G262" s="19" t="n"/>
      <c r="H262" s="20">
        <f>IF(COUNT(E262,G262)&lt;2,"",ROUND(E262*G262,2))</f>
        <v/>
      </c>
      <c r="J262" s="20">
        <f>IF(AND(ISNUMBER(G262),ISNUMBER(I262)),IF(I262&gt;0,ROUND(G262/I262,2),""),"")</f>
        <v/>
      </c>
    </row>
    <row r="263">
      <c r="A263" s="18" t="n"/>
      <c r="G263" s="19" t="n"/>
      <c r="H263" s="20">
        <f>IF(COUNT(E263,G263)&lt;2,"",ROUND(E263*G263,2))</f>
        <v/>
      </c>
      <c r="J263" s="20">
        <f>IF(AND(ISNUMBER(G263),ISNUMBER(I263)),IF(I263&gt;0,ROUND(G263/I263,2),""),"")</f>
        <v/>
      </c>
    </row>
    <row r="264">
      <c r="A264" s="18" t="n"/>
      <c r="G264" s="19" t="n"/>
      <c r="H264" s="20">
        <f>IF(COUNT(E264,G264)&lt;2,"",ROUND(E264*G264,2))</f>
        <v/>
      </c>
      <c r="J264" s="20">
        <f>IF(AND(ISNUMBER(G264),ISNUMBER(I264)),IF(I264&gt;0,ROUND(G264/I264,2),""),"")</f>
        <v/>
      </c>
    </row>
    <row r="265">
      <c r="A265" s="18" t="n"/>
      <c r="G265" s="19" t="n"/>
      <c r="H265" s="20">
        <f>IF(COUNT(E265,G265)&lt;2,"",ROUND(E265*G265,2))</f>
        <v/>
      </c>
      <c r="J265" s="20">
        <f>IF(AND(ISNUMBER(G265),ISNUMBER(I265)),IF(I265&gt;0,ROUND(G265/I265,2),""),"")</f>
        <v/>
      </c>
    </row>
    <row r="266">
      <c r="A266" s="18" t="n"/>
      <c r="G266" s="19" t="n"/>
      <c r="H266" s="20">
        <f>IF(COUNT(E266,G266)&lt;2,"",ROUND(E266*G266,2))</f>
        <v/>
      </c>
      <c r="J266" s="20">
        <f>IF(AND(ISNUMBER(G266),ISNUMBER(I266)),IF(I266&gt;0,ROUND(G266/I266,2),""),"")</f>
        <v/>
      </c>
    </row>
    <row r="267">
      <c r="A267" s="18" t="n"/>
      <c r="G267" s="19" t="n"/>
      <c r="H267" s="20">
        <f>IF(COUNT(E267,G267)&lt;2,"",ROUND(E267*G267,2))</f>
        <v/>
      </c>
      <c r="J267" s="20">
        <f>IF(AND(ISNUMBER(G267),ISNUMBER(I267)),IF(I267&gt;0,ROUND(G267/I267,2),""),"")</f>
        <v/>
      </c>
    </row>
    <row r="268">
      <c r="A268" s="18" t="n"/>
      <c r="G268" s="19" t="n"/>
      <c r="H268" s="20">
        <f>IF(COUNT(E268,G268)&lt;2,"",ROUND(E268*G268,2))</f>
        <v/>
      </c>
      <c r="J268" s="20">
        <f>IF(AND(ISNUMBER(G268),ISNUMBER(I268)),IF(I268&gt;0,ROUND(G268/I268,2),""),"")</f>
        <v/>
      </c>
    </row>
    <row r="269">
      <c r="A269" s="18" t="n"/>
      <c r="G269" s="19" t="n"/>
      <c r="H269" s="20">
        <f>IF(COUNT(E269,G269)&lt;2,"",ROUND(E269*G269,2))</f>
        <v/>
      </c>
      <c r="J269" s="20">
        <f>IF(AND(ISNUMBER(G269),ISNUMBER(I269)),IF(I269&gt;0,ROUND(G269/I269,2),""),"")</f>
        <v/>
      </c>
    </row>
    <row r="270">
      <c r="A270" s="18" t="n"/>
      <c r="G270" s="19" t="n"/>
      <c r="H270" s="20">
        <f>IF(COUNT(E270,G270)&lt;2,"",ROUND(E270*G270,2))</f>
        <v/>
      </c>
      <c r="J270" s="20">
        <f>IF(AND(ISNUMBER(G270),ISNUMBER(I270)),IF(I270&gt;0,ROUND(G270/I270,2),""),"")</f>
        <v/>
      </c>
    </row>
    <row r="271">
      <c r="A271" s="18" t="n"/>
      <c r="G271" s="19" t="n"/>
      <c r="H271" s="20">
        <f>IF(COUNT(E271,G271)&lt;2,"",ROUND(E271*G271,2))</f>
        <v/>
      </c>
      <c r="J271" s="20">
        <f>IF(AND(ISNUMBER(G271),ISNUMBER(I271)),IF(I271&gt;0,ROUND(G271/I271,2),""),"")</f>
        <v/>
      </c>
    </row>
    <row r="272">
      <c r="A272" s="18" t="n"/>
      <c r="G272" s="19" t="n"/>
      <c r="H272" s="20">
        <f>IF(COUNT(E272,G272)&lt;2,"",ROUND(E272*G272,2))</f>
        <v/>
      </c>
      <c r="J272" s="20">
        <f>IF(AND(ISNUMBER(G272),ISNUMBER(I272)),IF(I272&gt;0,ROUND(G272/I272,2),""),"")</f>
        <v/>
      </c>
    </row>
    <row r="273">
      <c r="A273" s="18" t="n"/>
      <c r="G273" s="19" t="n"/>
      <c r="H273" s="20">
        <f>IF(COUNT(E273,G273)&lt;2,"",ROUND(E273*G273,2))</f>
        <v/>
      </c>
      <c r="J273" s="20">
        <f>IF(AND(ISNUMBER(G273),ISNUMBER(I273)),IF(I273&gt;0,ROUND(G273/I273,2),""),"")</f>
        <v/>
      </c>
    </row>
    <row r="274">
      <c r="A274" s="18" t="n"/>
      <c r="G274" s="19" t="n"/>
      <c r="H274" s="20">
        <f>IF(COUNT(E274,G274)&lt;2,"",ROUND(E274*G274,2))</f>
        <v/>
      </c>
      <c r="J274" s="20">
        <f>IF(AND(ISNUMBER(G274),ISNUMBER(I274)),IF(I274&gt;0,ROUND(G274/I274,2),""),"")</f>
        <v/>
      </c>
    </row>
    <row r="275">
      <c r="A275" s="18" t="n"/>
      <c r="G275" s="19" t="n"/>
      <c r="H275" s="20">
        <f>IF(COUNT(E275,G275)&lt;2,"",ROUND(E275*G275,2))</f>
        <v/>
      </c>
      <c r="J275" s="20">
        <f>IF(AND(ISNUMBER(G275),ISNUMBER(I275)),IF(I275&gt;0,ROUND(G275/I275,2),""),"")</f>
        <v/>
      </c>
    </row>
    <row r="276">
      <c r="A276" s="18" t="n"/>
      <c r="G276" s="19" t="n"/>
      <c r="H276" s="20">
        <f>IF(COUNT(E276,G276)&lt;2,"",ROUND(E276*G276,2))</f>
        <v/>
      </c>
      <c r="J276" s="20">
        <f>IF(AND(ISNUMBER(G276),ISNUMBER(I276)),IF(I276&gt;0,ROUND(G276/I276,2),""),"")</f>
        <v/>
      </c>
    </row>
    <row r="277">
      <c r="A277" s="18" t="n"/>
      <c r="G277" s="19" t="n"/>
      <c r="H277" s="20">
        <f>IF(COUNT(E277,G277)&lt;2,"",ROUND(E277*G277,2))</f>
        <v/>
      </c>
      <c r="J277" s="20">
        <f>IF(AND(ISNUMBER(G277),ISNUMBER(I277)),IF(I277&gt;0,ROUND(G277/I277,2),""),"")</f>
        <v/>
      </c>
    </row>
    <row r="278">
      <c r="A278" s="18" t="n"/>
      <c r="G278" s="19" t="n"/>
      <c r="H278" s="20">
        <f>IF(COUNT(E278,G278)&lt;2,"",ROUND(E278*G278,2))</f>
        <v/>
      </c>
      <c r="J278" s="20">
        <f>IF(AND(ISNUMBER(G278),ISNUMBER(I278)),IF(I278&gt;0,ROUND(G278/I278,2),""),"")</f>
        <v/>
      </c>
    </row>
    <row r="279">
      <c r="A279" s="18" t="n"/>
      <c r="G279" s="19" t="n"/>
      <c r="H279" s="20">
        <f>IF(COUNT(E279,G279)&lt;2,"",ROUND(E279*G279,2))</f>
        <v/>
      </c>
      <c r="J279" s="20">
        <f>IF(AND(ISNUMBER(G279),ISNUMBER(I279)),IF(I279&gt;0,ROUND(G279/I279,2),""),"")</f>
        <v/>
      </c>
    </row>
    <row r="280">
      <c r="A280" s="18" t="n"/>
      <c r="G280" s="19" t="n"/>
      <c r="H280" s="20">
        <f>IF(COUNT(E280,G280)&lt;2,"",ROUND(E280*G280,2))</f>
        <v/>
      </c>
      <c r="J280" s="20">
        <f>IF(AND(ISNUMBER(G280),ISNUMBER(I280)),IF(I280&gt;0,ROUND(G280/I280,2),""),"")</f>
        <v/>
      </c>
    </row>
    <row r="281">
      <c r="A281" s="18" t="n"/>
      <c r="G281" s="19" t="n"/>
      <c r="H281" s="20">
        <f>IF(COUNT(E281,G281)&lt;2,"",ROUND(E281*G281,2))</f>
        <v/>
      </c>
      <c r="J281" s="20">
        <f>IF(AND(ISNUMBER(G281),ISNUMBER(I281)),IF(I281&gt;0,ROUND(G281/I281,2),""),"")</f>
        <v/>
      </c>
    </row>
    <row r="282">
      <c r="A282" s="18" t="n"/>
      <c r="G282" s="19" t="n"/>
      <c r="H282" s="20">
        <f>IF(COUNT(E282,G282)&lt;2,"",ROUND(E282*G282,2))</f>
        <v/>
      </c>
      <c r="J282" s="20">
        <f>IF(AND(ISNUMBER(G282),ISNUMBER(I282)),IF(I282&gt;0,ROUND(G282/I282,2),""),"")</f>
        <v/>
      </c>
    </row>
    <row r="283">
      <c r="A283" s="18" t="n"/>
      <c r="G283" s="19" t="n"/>
      <c r="H283" s="20">
        <f>IF(COUNT(E283,G283)&lt;2,"",ROUND(E283*G283,2))</f>
        <v/>
      </c>
      <c r="J283" s="20">
        <f>IF(AND(ISNUMBER(G283),ISNUMBER(I283)),IF(I283&gt;0,ROUND(G283/I283,2),""),"")</f>
        <v/>
      </c>
    </row>
    <row r="284">
      <c r="A284" s="18" t="n"/>
      <c r="G284" s="19" t="n"/>
      <c r="H284" s="20">
        <f>IF(COUNT(E284,G284)&lt;2,"",ROUND(E284*G284,2))</f>
        <v/>
      </c>
      <c r="J284" s="20">
        <f>IF(AND(ISNUMBER(G284),ISNUMBER(I284)),IF(I284&gt;0,ROUND(G284/I284,2),""),"")</f>
        <v/>
      </c>
    </row>
    <row r="285">
      <c r="A285" s="18" t="n"/>
      <c r="G285" s="19" t="n"/>
      <c r="H285" s="20">
        <f>IF(COUNT(E285,G285)&lt;2,"",ROUND(E285*G285,2))</f>
        <v/>
      </c>
      <c r="J285" s="20">
        <f>IF(AND(ISNUMBER(G285),ISNUMBER(I285)),IF(I285&gt;0,ROUND(G285/I285,2),""),"")</f>
        <v/>
      </c>
    </row>
    <row r="286">
      <c r="A286" s="18" t="n"/>
      <c r="G286" s="19" t="n"/>
      <c r="H286" s="20">
        <f>IF(COUNT(E286,G286)&lt;2,"",ROUND(E286*G286,2))</f>
        <v/>
      </c>
      <c r="J286" s="20">
        <f>IF(AND(ISNUMBER(G286),ISNUMBER(I286)),IF(I286&gt;0,ROUND(G286/I286,2),""),"")</f>
        <v/>
      </c>
    </row>
    <row r="287">
      <c r="A287" s="18" t="n"/>
      <c r="G287" s="19" t="n"/>
      <c r="H287" s="20">
        <f>IF(COUNT(E287,G287)&lt;2,"",ROUND(E287*G287,2))</f>
        <v/>
      </c>
      <c r="J287" s="20">
        <f>IF(AND(ISNUMBER(G287),ISNUMBER(I287)),IF(I287&gt;0,ROUND(G287/I287,2),""),"")</f>
        <v/>
      </c>
    </row>
    <row r="288">
      <c r="A288" s="18" t="n"/>
      <c r="G288" s="19" t="n"/>
      <c r="H288" s="20">
        <f>IF(COUNT(E288,G288)&lt;2,"",ROUND(E288*G288,2))</f>
        <v/>
      </c>
      <c r="J288" s="20">
        <f>IF(AND(ISNUMBER(G288),ISNUMBER(I288)),IF(I288&gt;0,ROUND(G288/I288,2),""),"")</f>
        <v/>
      </c>
    </row>
    <row r="289">
      <c r="A289" s="18" t="n"/>
      <c r="G289" s="19" t="n"/>
      <c r="H289" s="20">
        <f>IF(COUNT(E289,G289)&lt;2,"",ROUND(E289*G289,2))</f>
        <v/>
      </c>
      <c r="J289" s="20">
        <f>IF(AND(ISNUMBER(G289),ISNUMBER(I289)),IF(I289&gt;0,ROUND(G289/I289,2),""),"")</f>
        <v/>
      </c>
    </row>
    <row r="290">
      <c r="A290" s="18" t="n"/>
      <c r="G290" s="19" t="n"/>
      <c r="H290" s="20">
        <f>IF(COUNT(E290,G290)&lt;2,"",ROUND(E290*G290,2))</f>
        <v/>
      </c>
      <c r="J290" s="20">
        <f>IF(AND(ISNUMBER(G290),ISNUMBER(I290)),IF(I290&gt;0,ROUND(G290/I290,2),""),"")</f>
        <v/>
      </c>
    </row>
    <row r="291">
      <c r="A291" s="18" t="n"/>
      <c r="G291" s="19" t="n"/>
      <c r="H291" s="20">
        <f>IF(COUNT(E291,G291)&lt;2,"",ROUND(E291*G291,2))</f>
        <v/>
      </c>
      <c r="J291" s="20">
        <f>IF(AND(ISNUMBER(G291),ISNUMBER(I291)),IF(I291&gt;0,ROUND(G291/I291,2),""),"")</f>
        <v/>
      </c>
    </row>
    <row r="292">
      <c r="A292" s="18" t="n"/>
      <c r="G292" s="19" t="n"/>
      <c r="H292" s="20">
        <f>IF(COUNT(E292,G292)&lt;2,"",ROUND(E292*G292,2))</f>
        <v/>
      </c>
      <c r="J292" s="20">
        <f>IF(AND(ISNUMBER(G292),ISNUMBER(I292)),IF(I292&gt;0,ROUND(G292/I292,2),""),"")</f>
        <v/>
      </c>
    </row>
    <row r="293">
      <c r="A293" s="18" t="n"/>
      <c r="G293" s="19" t="n"/>
      <c r="H293" s="20">
        <f>IF(COUNT(E293,G293)&lt;2,"",ROUND(E293*G293,2))</f>
        <v/>
      </c>
      <c r="J293" s="20">
        <f>IF(AND(ISNUMBER(G293),ISNUMBER(I293)),IF(I293&gt;0,ROUND(G293/I293,2),""),"")</f>
        <v/>
      </c>
    </row>
    <row r="294">
      <c r="A294" s="18" t="n"/>
      <c r="G294" s="19" t="n"/>
      <c r="H294" s="20">
        <f>IF(COUNT(E294,G294)&lt;2,"",ROUND(E294*G294,2))</f>
        <v/>
      </c>
      <c r="J294" s="20">
        <f>IF(AND(ISNUMBER(G294),ISNUMBER(I294)),IF(I294&gt;0,ROUND(G294/I294,2),""),"")</f>
        <v/>
      </c>
    </row>
    <row r="295">
      <c r="A295" s="18" t="n"/>
      <c r="G295" s="19" t="n"/>
      <c r="H295" s="20">
        <f>IF(COUNT(E295,G295)&lt;2,"",ROUND(E295*G295,2))</f>
        <v/>
      </c>
      <c r="J295" s="20">
        <f>IF(AND(ISNUMBER(G295),ISNUMBER(I295)),IF(I295&gt;0,ROUND(G295/I295,2),""),"")</f>
        <v/>
      </c>
    </row>
    <row r="296">
      <c r="A296" s="18" t="n"/>
      <c r="G296" s="19" t="n"/>
      <c r="H296" s="20">
        <f>IF(COUNT(E296,G296)&lt;2,"",ROUND(E296*G296,2))</f>
        <v/>
      </c>
      <c r="J296" s="20">
        <f>IF(AND(ISNUMBER(G296),ISNUMBER(I296)),IF(I296&gt;0,ROUND(G296/I296,2),""),"")</f>
        <v/>
      </c>
    </row>
    <row r="297">
      <c r="A297" s="18" t="n"/>
      <c r="G297" s="19" t="n"/>
      <c r="H297" s="20">
        <f>IF(COUNT(E297,G297)&lt;2,"",ROUND(E297*G297,2))</f>
        <v/>
      </c>
      <c r="J297" s="20">
        <f>IF(AND(ISNUMBER(G297),ISNUMBER(I297)),IF(I297&gt;0,ROUND(G297/I297,2),""),"")</f>
        <v/>
      </c>
    </row>
    <row r="298">
      <c r="A298" s="18" t="n"/>
      <c r="G298" s="19" t="n"/>
      <c r="H298" s="20">
        <f>IF(COUNT(E298,G298)&lt;2,"",ROUND(E298*G298,2))</f>
        <v/>
      </c>
      <c r="J298" s="20">
        <f>IF(AND(ISNUMBER(G298),ISNUMBER(I298)),IF(I298&gt;0,ROUND(G298/I298,2),""),"")</f>
        <v/>
      </c>
    </row>
    <row r="299">
      <c r="A299" s="18" t="n"/>
      <c r="G299" s="19" t="n"/>
      <c r="H299" s="20">
        <f>IF(COUNT(E299,G299)&lt;2,"",ROUND(E299*G299,2))</f>
        <v/>
      </c>
      <c r="J299" s="20">
        <f>IF(AND(ISNUMBER(G299),ISNUMBER(I299)),IF(I299&gt;0,ROUND(G299/I299,2),""),"")</f>
        <v/>
      </c>
    </row>
    <row r="300">
      <c r="A300" s="18" t="n"/>
      <c r="G300" s="19" t="n"/>
      <c r="H300" s="20">
        <f>IF(COUNT(E300,G300)&lt;2,"",ROUND(E300*G300,2))</f>
        <v/>
      </c>
      <c r="J300" s="20">
        <f>IF(AND(ISNUMBER(G300),ISNUMBER(I300)),IF(I300&gt;0,ROUND(G300/I300,2),""),"")</f>
        <v/>
      </c>
    </row>
    <row r="301">
      <c r="A301" s="18" t="n"/>
      <c r="G301" s="19" t="n"/>
      <c r="H301" s="20">
        <f>IF(COUNT(E301,G301)&lt;2,"",ROUND(E301*G301,2))</f>
        <v/>
      </c>
      <c r="J301" s="20">
        <f>IF(AND(ISNUMBER(G301),ISNUMBER(I301)),IF(I301&gt;0,ROUND(G301/I301,2),""),"")</f>
        <v/>
      </c>
    </row>
    <row r="302">
      <c r="A302" s="18" t="n"/>
      <c r="G302" s="19" t="n"/>
      <c r="H302" s="20">
        <f>IF(COUNT(E302,G302)&lt;2,"",ROUND(E302*G302,2))</f>
        <v/>
      </c>
      <c r="J302" s="20">
        <f>IF(AND(ISNUMBER(G302),ISNUMBER(I302)),IF(I302&gt;0,ROUND(G302/I302,2),""),"")</f>
        <v/>
      </c>
    </row>
    <row r="303">
      <c r="A303" s="18" t="n"/>
      <c r="G303" s="19" t="n"/>
      <c r="H303" s="20">
        <f>IF(COUNT(E303,G303)&lt;2,"",ROUND(E303*G303,2))</f>
        <v/>
      </c>
      <c r="J303" s="20">
        <f>IF(AND(ISNUMBER(G303),ISNUMBER(I303)),IF(I303&gt;0,ROUND(G303/I303,2),""),"")</f>
        <v/>
      </c>
    </row>
    <row r="304">
      <c r="A304" s="18" t="n"/>
      <c r="G304" s="19" t="n"/>
      <c r="H304" s="20">
        <f>IF(COUNT(E304,G304)&lt;2,"",ROUND(E304*G304,2))</f>
        <v/>
      </c>
      <c r="J304" s="20">
        <f>IF(AND(ISNUMBER(G304),ISNUMBER(I304)),IF(I304&gt;0,ROUND(G304/I304,2),""),"")</f>
        <v/>
      </c>
    </row>
    <row r="305">
      <c r="A305" s="18" t="n"/>
      <c r="G305" s="19" t="n"/>
      <c r="H305" s="20">
        <f>IF(COUNT(E305,G305)&lt;2,"",ROUND(E305*G305,2))</f>
        <v/>
      </c>
      <c r="J305" s="20">
        <f>IF(AND(ISNUMBER(G305),ISNUMBER(I305)),IF(I305&gt;0,ROUND(G305/I305,2),""),"")</f>
        <v/>
      </c>
    </row>
    <row r="306">
      <c r="A306" s="18" t="n"/>
      <c r="G306" s="19" t="n"/>
      <c r="H306" s="20">
        <f>IF(COUNT(E306,G306)&lt;2,"",ROUND(E306*G306,2))</f>
        <v/>
      </c>
      <c r="J306" s="20">
        <f>IF(AND(ISNUMBER(G306),ISNUMBER(I306)),IF(I306&gt;0,ROUND(G306/I306,2),""),"")</f>
        <v/>
      </c>
    </row>
    <row r="307">
      <c r="A307" s="18" t="n"/>
      <c r="G307" s="19" t="n"/>
      <c r="H307" s="20">
        <f>IF(COUNT(E307,G307)&lt;2,"",ROUND(E307*G307,2))</f>
        <v/>
      </c>
      <c r="J307" s="20">
        <f>IF(AND(ISNUMBER(G307),ISNUMBER(I307)),IF(I307&gt;0,ROUND(G307/I307,2),""),"")</f>
        <v/>
      </c>
    </row>
    <row r="308">
      <c r="A308" s="18" t="n"/>
      <c r="G308" s="19" t="n"/>
      <c r="H308" s="20">
        <f>IF(COUNT(E308,G308)&lt;2,"",ROUND(E308*G308,2))</f>
        <v/>
      </c>
      <c r="J308" s="20">
        <f>IF(AND(ISNUMBER(G308),ISNUMBER(I308)),IF(I308&gt;0,ROUND(G308/I308,2),""),"")</f>
        <v/>
      </c>
    </row>
    <row r="309">
      <c r="A309" s="18" t="n"/>
      <c r="G309" s="19" t="n"/>
      <c r="H309" s="20">
        <f>IF(COUNT(E309,G309)&lt;2,"",ROUND(E309*G309,2))</f>
        <v/>
      </c>
      <c r="J309" s="20">
        <f>IF(AND(ISNUMBER(G309),ISNUMBER(I309)),IF(I309&gt;0,ROUND(G309/I309,2),""),"")</f>
        <v/>
      </c>
    </row>
    <row r="310">
      <c r="A310" s="18" t="n"/>
      <c r="G310" s="19" t="n"/>
      <c r="H310" s="20">
        <f>IF(COUNT(E310,G310)&lt;2,"",ROUND(E310*G310,2))</f>
        <v/>
      </c>
      <c r="J310" s="20">
        <f>IF(AND(ISNUMBER(G310),ISNUMBER(I310)),IF(I310&gt;0,ROUND(G310/I310,2),""),"")</f>
        <v/>
      </c>
    </row>
    <row r="311">
      <c r="A311" s="18" t="n"/>
      <c r="G311" s="19" t="n"/>
      <c r="H311" s="20">
        <f>IF(COUNT(E311,G311)&lt;2,"",ROUND(E311*G311,2))</f>
        <v/>
      </c>
      <c r="J311" s="20">
        <f>IF(AND(ISNUMBER(G311),ISNUMBER(I311)),IF(I311&gt;0,ROUND(G311/I311,2),""),"")</f>
        <v/>
      </c>
    </row>
    <row r="312">
      <c r="A312" s="18" t="n"/>
      <c r="G312" s="19" t="n"/>
      <c r="H312" s="20">
        <f>IF(COUNT(E312,G312)&lt;2,"",ROUND(E312*G312,2))</f>
        <v/>
      </c>
      <c r="J312" s="20">
        <f>IF(AND(ISNUMBER(G312),ISNUMBER(I312)),IF(I312&gt;0,ROUND(G312/I312,2),""),"")</f>
        <v/>
      </c>
    </row>
    <row r="313">
      <c r="A313" s="18" t="n"/>
      <c r="G313" s="19" t="n"/>
      <c r="H313" s="20">
        <f>IF(COUNT(E313,G313)&lt;2,"",ROUND(E313*G313,2))</f>
        <v/>
      </c>
      <c r="J313" s="20">
        <f>IF(AND(ISNUMBER(G313),ISNUMBER(I313)),IF(I313&gt;0,ROUND(G313/I313,2),""),"")</f>
        <v/>
      </c>
    </row>
    <row r="314">
      <c r="A314" s="18" t="n"/>
      <c r="G314" s="19" t="n"/>
      <c r="H314" s="20">
        <f>IF(COUNT(E314,G314)&lt;2,"",ROUND(E314*G314,2))</f>
        <v/>
      </c>
      <c r="J314" s="20">
        <f>IF(AND(ISNUMBER(G314),ISNUMBER(I314)),IF(I314&gt;0,ROUND(G314/I314,2),""),"")</f>
        <v/>
      </c>
    </row>
    <row r="315">
      <c r="A315" s="18" t="n"/>
      <c r="G315" s="19" t="n"/>
      <c r="H315" s="20">
        <f>IF(COUNT(E315,G315)&lt;2,"",ROUND(E315*G315,2))</f>
        <v/>
      </c>
      <c r="J315" s="20">
        <f>IF(AND(ISNUMBER(G315),ISNUMBER(I315)),IF(I315&gt;0,ROUND(G315/I315,2),""),"")</f>
        <v/>
      </c>
    </row>
    <row r="316">
      <c r="A316" s="18" t="n"/>
      <c r="G316" s="19" t="n"/>
      <c r="H316" s="20">
        <f>IF(COUNT(E316,G316)&lt;2,"",ROUND(E316*G316,2))</f>
        <v/>
      </c>
      <c r="J316" s="20">
        <f>IF(AND(ISNUMBER(G316),ISNUMBER(I316)),IF(I316&gt;0,ROUND(G316/I316,2),""),"")</f>
        <v/>
      </c>
    </row>
    <row r="317">
      <c r="A317" s="18" t="n"/>
      <c r="G317" s="19" t="n"/>
      <c r="H317" s="20">
        <f>IF(COUNT(E317,G317)&lt;2,"",ROUND(E317*G317,2))</f>
        <v/>
      </c>
      <c r="J317" s="20">
        <f>IF(AND(ISNUMBER(G317),ISNUMBER(I317)),IF(I317&gt;0,ROUND(G317/I317,2),""),"")</f>
        <v/>
      </c>
    </row>
    <row r="318">
      <c r="A318" s="18" t="n"/>
      <c r="G318" s="19" t="n"/>
      <c r="H318" s="20">
        <f>IF(COUNT(E318,G318)&lt;2,"",ROUND(E318*G318,2))</f>
        <v/>
      </c>
      <c r="J318" s="20">
        <f>IF(AND(ISNUMBER(G318),ISNUMBER(I318)),IF(I318&gt;0,ROUND(G318/I318,2),""),"")</f>
        <v/>
      </c>
    </row>
    <row r="319">
      <c r="A319" s="18" t="n"/>
      <c r="G319" s="19" t="n"/>
      <c r="H319" s="20">
        <f>IF(COUNT(E319,G319)&lt;2,"",ROUND(E319*G319,2))</f>
        <v/>
      </c>
      <c r="J319" s="20">
        <f>IF(AND(ISNUMBER(G319),ISNUMBER(I319)),IF(I319&gt;0,ROUND(G319/I319,2),""),"")</f>
        <v/>
      </c>
    </row>
    <row r="320">
      <c r="A320" s="18" t="n"/>
      <c r="G320" s="19" t="n"/>
      <c r="H320" s="20">
        <f>IF(COUNT(E320,G320)&lt;2,"",ROUND(E320*G320,2))</f>
        <v/>
      </c>
      <c r="J320" s="20">
        <f>IF(AND(ISNUMBER(G320),ISNUMBER(I320)),IF(I320&gt;0,ROUND(G320/I320,2),""),"")</f>
        <v/>
      </c>
    </row>
    <row r="321">
      <c r="A321" s="18" t="n"/>
      <c r="G321" s="19" t="n"/>
      <c r="H321" s="20">
        <f>IF(COUNT(E321,G321)&lt;2,"",ROUND(E321*G321,2))</f>
        <v/>
      </c>
      <c r="J321" s="20">
        <f>IF(AND(ISNUMBER(G321),ISNUMBER(I321)),IF(I321&gt;0,ROUND(G321/I321,2),""),"")</f>
        <v/>
      </c>
    </row>
    <row r="322">
      <c r="A322" s="18" t="n"/>
      <c r="G322" s="19" t="n"/>
      <c r="H322" s="20">
        <f>IF(COUNT(E322,G322)&lt;2,"",ROUND(E322*G322,2))</f>
        <v/>
      </c>
      <c r="J322" s="20">
        <f>IF(AND(ISNUMBER(G322),ISNUMBER(I322)),IF(I322&gt;0,ROUND(G322/I322,2),""),"")</f>
        <v/>
      </c>
    </row>
    <row r="323">
      <c r="A323" s="18" t="n"/>
      <c r="G323" s="19" t="n"/>
      <c r="H323" s="20">
        <f>IF(COUNT(E323,G323)&lt;2,"",ROUND(E323*G323,2))</f>
        <v/>
      </c>
      <c r="J323" s="20">
        <f>IF(AND(ISNUMBER(G323),ISNUMBER(I323)),IF(I323&gt;0,ROUND(G323/I323,2),""),"")</f>
        <v/>
      </c>
    </row>
    <row r="324">
      <c r="A324" s="18" t="n"/>
      <c r="G324" s="19" t="n"/>
      <c r="H324" s="20">
        <f>IF(COUNT(E324,G324)&lt;2,"",ROUND(E324*G324,2))</f>
        <v/>
      </c>
      <c r="J324" s="20">
        <f>IF(AND(ISNUMBER(G324),ISNUMBER(I324)),IF(I324&gt;0,ROUND(G324/I324,2),""),"")</f>
        <v/>
      </c>
    </row>
    <row r="325">
      <c r="A325" s="18" t="n"/>
      <c r="G325" s="19" t="n"/>
      <c r="H325" s="20">
        <f>IF(COUNT(E325,G325)&lt;2,"",ROUND(E325*G325,2))</f>
        <v/>
      </c>
      <c r="J325" s="20">
        <f>IF(AND(ISNUMBER(G325),ISNUMBER(I325)),IF(I325&gt;0,ROUND(G325/I325,2),""),"")</f>
        <v/>
      </c>
    </row>
    <row r="326">
      <c r="A326" s="18" t="n"/>
      <c r="G326" s="19" t="n"/>
      <c r="H326" s="20">
        <f>IF(COUNT(E326,G326)&lt;2,"",ROUND(E326*G326,2))</f>
        <v/>
      </c>
      <c r="J326" s="20">
        <f>IF(AND(ISNUMBER(G326),ISNUMBER(I326)),IF(I326&gt;0,ROUND(G326/I326,2),""),"")</f>
        <v/>
      </c>
    </row>
    <row r="327">
      <c r="A327" s="18" t="n"/>
      <c r="G327" s="19" t="n"/>
      <c r="H327" s="20">
        <f>IF(COUNT(E327,G327)&lt;2,"",ROUND(E327*G327,2))</f>
        <v/>
      </c>
      <c r="J327" s="20">
        <f>IF(AND(ISNUMBER(G327),ISNUMBER(I327)),IF(I327&gt;0,ROUND(G327/I327,2),""),"")</f>
        <v/>
      </c>
    </row>
    <row r="328">
      <c r="A328" s="18" t="n"/>
      <c r="G328" s="19" t="n"/>
      <c r="H328" s="20">
        <f>IF(COUNT(E328,G328)&lt;2,"",ROUND(E328*G328,2))</f>
        <v/>
      </c>
      <c r="J328" s="20">
        <f>IF(AND(ISNUMBER(G328),ISNUMBER(I328)),IF(I328&gt;0,ROUND(G328/I328,2),""),"")</f>
        <v/>
      </c>
    </row>
    <row r="329">
      <c r="A329" s="18" t="n"/>
      <c r="G329" s="19" t="n"/>
      <c r="H329" s="20">
        <f>IF(COUNT(E329,G329)&lt;2,"",ROUND(E329*G329,2))</f>
        <v/>
      </c>
      <c r="J329" s="20">
        <f>IF(AND(ISNUMBER(G329),ISNUMBER(I329)),IF(I329&gt;0,ROUND(G329/I329,2),""),"")</f>
        <v/>
      </c>
    </row>
    <row r="330">
      <c r="A330" s="18" t="n"/>
      <c r="G330" s="19" t="n"/>
      <c r="H330" s="20">
        <f>IF(COUNT(E330,G330)&lt;2,"",ROUND(E330*G330,2))</f>
        <v/>
      </c>
      <c r="J330" s="20">
        <f>IF(AND(ISNUMBER(G330),ISNUMBER(I330)),IF(I330&gt;0,ROUND(G330/I330,2),""),"")</f>
        <v/>
      </c>
    </row>
    <row r="331">
      <c r="A331" s="18" t="n"/>
      <c r="G331" s="19" t="n"/>
      <c r="H331" s="20">
        <f>IF(COUNT(E331,G331)&lt;2,"",ROUND(E331*G331,2))</f>
        <v/>
      </c>
      <c r="J331" s="20">
        <f>IF(AND(ISNUMBER(G331),ISNUMBER(I331)),IF(I331&gt;0,ROUND(G331/I331,2),""),"")</f>
        <v/>
      </c>
    </row>
    <row r="332">
      <c r="A332" s="18" t="n"/>
      <c r="G332" s="19" t="n"/>
      <c r="H332" s="20">
        <f>IF(COUNT(E332,G332)&lt;2,"",ROUND(E332*G332,2))</f>
        <v/>
      </c>
      <c r="J332" s="20">
        <f>IF(AND(ISNUMBER(G332),ISNUMBER(I332)),IF(I332&gt;0,ROUND(G332/I332,2),""),"")</f>
        <v/>
      </c>
    </row>
    <row r="333">
      <c r="A333" s="18" t="n"/>
      <c r="G333" s="19" t="n"/>
      <c r="H333" s="20">
        <f>IF(COUNT(E333,G333)&lt;2,"",ROUND(E333*G333,2))</f>
        <v/>
      </c>
      <c r="J333" s="20">
        <f>IF(AND(ISNUMBER(G333),ISNUMBER(I333)),IF(I333&gt;0,ROUND(G333/I333,2),""),"")</f>
        <v/>
      </c>
    </row>
    <row r="334">
      <c r="A334" s="18" t="n"/>
      <c r="G334" s="19" t="n"/>
      <c r="H334" s="20">
        <f>IF(COUNT(E334,G334)&lt;2,"",ROUND(E334*G334,2))</f>
        <v/>
      </c>
      <c r="J334" s="20">
        <f>IF(AND(ISNUMBER(G334),ISNUMBER(I334)),IF(I334&gt;0,ROUND(G334/I334,2),""),"")</f>
        <v/>
      </c>
    </row>
    <row r="335">
      <c r="A335" s="18" t="n"/>
      <c r="G335" s="19" t="n"/>
      <c r="H335" s="20">
        <f>IF(COUNT(E335,G335)&lt;2,"",ROUND(E335*G335,2))</f>
        <v/>
      </c>
      <c r="J335" s="20">
        <f>IF(AND(ISNUMBER(G335),ISNUMBER(I335)),IF(I335&gt;0,ROUND(G335/I335,2),""),"")</f>
        <v/>
      </c>
    </row>
    <row r="336">
      <c r="A336" s="18" t="n"/>
      <c r="G336" s="19" t="n"/>
      <c r="H336" s="20">
        <f>IF(COUNT(E336,G336)&lt;2,"",ROUND(E336*G336,2))</f>
        <v/>
      </c>
      <c r="J336" s="20">
        <f>IF(AND(ISNUMBER(G336),ISNUMBER(I336)),IF(I336&gt;0,ROUND(G336/I336,2),""),"")</f>
        <v/>
      </c>
    </row>
    <row r="337">
      <c r="A337" s="18" t="n"/>
      <c r="G337" s="19" t="n"/>
      <c r="H337" s="20">
        <f>IF(COUNT(E337,G337)&lt;2,"",ROUND(E337*G337,2))</f>
        <v/>
      </c>
      <c r="J337" s="20">
        <f>IF(AND(ISNUMBER(G337),ISNUMBER(I337)),IF(I337&gt;0,ROUND(G337/I337,2),""),"")</f>
        <v/>
      </c>
    </row>
    <row r="338">
      <c r="A338" s="18" t="n"/>
      <c r="G338" s="19" t="n"/>
      <c r="H338" s="20">
        <f>IF(COUNT(E338,G338)&lt;2,"",ROUND(E338*G338,2))</f>
        <v/>
      </c>
      <c r="J338" s="20">
        <f>IF(AND(ISNUMBER(G338),ISNUMBER(I338)),IF(I338&gt;0,ROUND(G338/I338,2),""),"")</f>
        <v/>
      </c>
    </row>
    <row r="339">
      <c r="A339" s="18" t="n"/>
      <c r="G339" s="19" t="n"/>
      <c r="H339" s="20">
        <f>IF(COUNT(E339,G339)&lt;2,"",ROUND(E339*G339,2))</f>
        <v/>
      </c>
      <c r="J339" s="20">
        <f>IF(AND(ISNUMBER(G339),ISNUMBER(I339)),IF(I339&gt;0,ROUND(G339/I339,2),""),"")</f>
        <v/>
      </c>
    </row>
    <row r="340">
      <c r="A340" s="18" t="n"/>
      <c r="G340" s="19" t="n"/>
      <c r="H340" s="20">
        <f>IF(COUNT(E340,G340)&lt;2,"",ROUND(E340*G340,2))</f>
        <v/>
      </c>
      <c r="J340" s="20">
        <f>IF(AND(ISNUMBER(G340),ISNUMBER(I340)),IF(I340&gt;0,ROUND(G340/I340,2),""),"")</f>
        <v/>
      </c>
    </row>
    <row r="341">
      <c r="A341" s="18" t="n"/>
      <c r="G341" s="19" t="n"/>
      <c r="H341" s="20">
        <f>IF(COUNT(E341,G341)&lt;2,"",ROUND(E341*G341,2))</f>
        <v/>
      </c>
      <c r="J341" s="20">
        <f>IF(AND(ISNUMBER(G341),ISNUMBER(I341)),IF(I341&gt;0,ROUND(G341/I341,2),""),"")</f>
        <v/>
      </c>
    </row>
    <row r="342">
      <c r="A342" s="18" t="n"/>
      <c r="G342" s="19" t="n"/>
      <c r="H342" s="20">
        <f>IF(COUNT(E342,G342)&lt;2,"",ROUND(E342*G342,2))</f>
        <v/>
      </c>
      <c r="J342" s="20">
        <f>IF(AND(ISNUMBER(G342),ISNUMBER(I342)),IF(I342&gt;0,ROUND(G342/I342,2),""),"")</f>
        <v/>
      </c>
    </row>
    <row r="343">
      <c r="A343" s="18" t="n"/>
      <c r="G343" s="19" t="n"/>
      <c r="H343" s="20">
        <f>IF(COUNT(E343,G343)&lt;2,"",ROUND(E343*G343,2))</f>
        <v/>
      </c>
      <c r="J343" s="20">
        <f>IF(AND(ISNUMBER(G343),ISNUMBER(I343)),IF(I343&gt;0,ROUND(G343/I343,2),""),"")</f>
        <v/>
      </c>
    </row>
    <row r="344">
      <c r="A344" s="18" t="n"/>
      <c r="G344" s="19" t="n"/>
      <c r="H344" s="20">
        <f>IF(COUNT(E344,G344)&lt;2,"",ROUND(E344*G344,2))</f>
        <v/>
      </c>
      <c r="J344" s="20">
        <f>IF(AND(ISNUMBER(G344),ISNUMBER(I344)),IF(I344&gt;0,ROUND(G344/I344,2),""),"")</f>
        <v/>
      </c>
    </row>
    <row r="345">
      <c r="A345" s="18" t="n"/>
      <c r="G345" s="19" t="n"/>
      <c r="H345" s="20">
        <f>IF(COUNT(E345,G345)&lt;2,"",ROUND(E345*G345,2))</f>
        <v/>
      </c>
      <c r="J345" s="20">
        <f>IF(AND(ISNUMBER(G345),ISNUMBER(I345)),IF(I345&gt;0,ROUND(G345/I345,2),""),"")</f>
        <v/>
      </c>
    </row>
    <row r="346">
      <c r="A346" s="18" t="n"/>
      <c r="G346" s="19" t="n"/>
      <c r="H346" s="20">
        <f>IF(COUNT(E346,G346)&lt;2,"",ROUND(E346*G346,2))</f>
        <v/>
      </c>
      <c r="J346" s="20">
        <f>IF(AND(ISNUMBER(G346),ISNUMBER(I346)),IF(I346&gt;0,ROUND(G346/I346,2),""),"")</f>
        <v/>
      </c>
    </row>
    <row r="347">
      <c r="A347" s="18" t="n"/>
      <c r="G347" s="19" t="n"/>
      <c r="H347" s="20">
        <f>IF(COUNT(E347,G347)&lt;2,"",ROUND(E347*G347,2))</f>
        <v/>
      </c>
      <c r="J347" s="20">
        <f>IF(AND(ISNUMBER(G347),ISNUMBER(I347)),IF(I347&gt;0,ROUND(G347/I347,2),""),"")</f>
        <v/>
      </c>
    </row>
    <row r="348">
      <c r="A348" s="18" t="n"/>
      <c r="G348" s="19" t="n"/>
      <c r="H348" s="20">
        <f>IF(COUNT(E348,G348)&lt;2,"",ROUND(E348*G348,2))</f>
        <v/>
      </c>
      <c r="J348" s="20">
        <f>IF(AND(ISNUMBER(G348),ISNUMBER(I348)),IF(I348&gt;0,ROUND(G348/I348,2),""),"")</f>
        <v/>
      </c>
    </row>
    <row r="349">
      <c r="A349" s="18" t="n"/>
      <c r="G349" s="19" t="n"/>
      <c r="H349" s="20">
        <f>IF(COUNT(E349,G349)&lt;2,"",ROUND(E349*G349,2))</f>
        <v/>
      </c>
      <c r="J349" s="20">
        <f>IF(AND(ISNUMBER(G349),ISNUMBER(I349)),IF(I349&gt;0,ROUND(G349/I349,2),""),"")</f>
        <v/>
      </c>
    </row>
    <row r="350">
      <c r="A350" s="18" t="n"/>
      <c r="G350" s="19" t="n"/>
      <c r="H350" s="20">
        <f>IF(COUNT(E350,G350)&lt;2,"",ROUND(E350*G350,2))</f>
        <v/>
      </c>
      <c r="J350" s="20">
        <f>IF(AND(ISNUMBER(G350),ISNUMBER(I350)),IF(I350&gt;0,ROUND(G350/I350,2),""),"")</f>
        <v/>
      </c>
    </row>
    <row r="351">
      <c r="A351" s="18" t="n"/>
      <c r="G351" s="19" t="n"/>
      <c r="H351" s="20">
        <f>IF(COUNT(E351,G351)&lt;2,"",ROUND(E351*G351,2))</f>
        <v/>
      </c>
      <c r="J351" s="20">
        <f>IF(AND(ISNUMBER(G351),ISNUMBER(I351)),IF(I351&gt;0,ROUND(G351/I351,2),""),"")</f>
        <v/>
      </c>
    </row>
    <row r="352">
      <c r="A352" s="18" t="n"/>
      <c r="G352" s="19" t="n"/>
      <c r="H352" s="20">
        <f>IF(COUNT(E352,G352)&lt;2,"",ROUND(E352*G352,2))</f>
        <v/>
      </c>
      <c r="J352" s="20">
        <f>IF(AND(ISNUMBER(G352),ISNUMBER(I352)),IF(I352&gt;0,ROUND(G352/I352,2),""),"")</f>
        <v/>
      </c>
    </row>
    <row r="353">
      <c r="A353" s="18" t="n"/>
      <c r="G353" s="19" t="n"/>
      <c r="H353" s="20">
        <f>IF(COUNT(E353,G353)&lt;2,"",ROUND(E353*G353,2))</f>
        <v/>
      </c>
      <c r="J353" s="20">
        <f>IF(AND(ISNUMBER(G353),ISNUMBER(I353)),IF(I353&gt;0,ROUND(G353/I353,2),""),"")</f>
        <v/>
      </c>
    </row>
    <row r="354">
      <c r="A354" s="18" t="n"/>
      <c r="G354" s="19" t="n"/>
      <c r="H354" s="20">
        <f>IF(COUNT(E354,G354)&lt;2,"",ROUND(E354*G354,2))</f>
        <v/>
      </c>
      <c r="J354" s="20">
        <f>IF(AND(ISNUMBER(G354),ISNUMBER(I354)),IF(I354&gt;0,ROUND(G354/I354,2),""),"")</f>
        <v/>
      </c>
    </row>
    <row r="355">
      <c r="A355" s="18" t="n"/>
      <c r="G355" s="19" t="n"/>
      <c r="H355" s="20">
        <f>IF(COUNT(E355,G355)&lt;2,"",ROUND(E355*G355,2))</f>
        <v/>
      </c>
      <c r="J355" s="20">
        <f>IF(AND(ISNUMBER(G355),ISNUMBER(I355)),IF(I355&gt;0,ROUND(G355/I355,2),""),"")</f>
        <v/>
      </c>
    </row>
    <row r="356">
      <c r="A356" s="18" t="n"/>
      <c r="G356" s="19" t="n"/>
      <c r="H356" s="20">
        <f>IF(COUNT(E356,G356)&lt;2,"",ROUND(E356*G356,2))</f>
        <v/>
      </c>
      <c r="J356" s="20">
        <f>IF(AND(ISNUMBER(G356),ISNUMBER(I356)),IF(I356&gt;0,ROUND(G356/I356,2),""),"")</f>
        <v/>
      </c>
    </row>
    <row r="357">
      <c r="A357" s="18" t="n"/>
      <c r="G357" s="19" t="n"/>
      <c r="H357" s="20">
        <f>IF(COUNT(E357,G357)&lt;2,"",ROUND(E357*G357,2))</f>
        <v/>
      </c>
      <c r="J357" s="20">
        <f>IF(AND(ISNUMBER(G357),ISNUMBER(I357)),IF(I357&gt;0,ROUND(G357/I357,2),""),"")</f>
        <v/>
      </c>
    </row>
    <row r="358">
      <c r="A358" s="18" t="n"/>
      <c r="G358" s="19" t="n"/>
      <c r="H358" s="20">
        <f>IF(COUNT(E358,G358)&lt;2,"",ROUND(E358*G358,2))</f>
        <v/>
      </c>
      <c r="J358" s="20">
        <f>IF(AND(ISNUMBER(G358),ISNUMBER(I358)),IF(I358&gt;0,ROUND(G358/I358,2),""),"")</f>
        <v/>
      </c>
    </row>
    <row r="359">
      <c r="A359" s="18" t="n"/>
      <c r="G359" s="19" t="n"/>
      <c r="H359" s="20">
        <f>IF(COUNT(E359,G359)&lt;2,"",ROUND(E359*G359,2))</f>
        <v/>
      </c>
      <c r="J359" s="20">
        <f>IF(AND(ISNUMBER(G359),ISNUMBER(I359)),IF(I359&gt;0,ROUND(G359/I359,2),""),"")</f>
        <v/>
      </c>
    </row>
    <row r="360">
      <c r="A360" s="18" t="n"/>
      <c r="G360" s="19" t="n"/>
      <c r="H360" s="20">
        <f>IF(COUNT(E360,G360)&lt;2,"",ROUND(E360*G360,2))</f>
        <v/>
      </c>
      <c r="J360" s="20">
        <f>IF(AND(ISNUMBER(G360),ISNUMBER(I360)),IF(I360&gt;0,ROUND(G360/I360,2),""),"")</f>
        <v/>
      </c>
    </row>
    <row r="361">
      <c r="A361" s="18" t="n"/>
      <c r="G361" s="19" t="n"/>
      <c r="H361" s="20">
        <f>IF(COUNT(E361,G361)&lt;2,"",ROUND(E361*G361,2))</f>
        <v/>
      </c>
      <c r="J361" s="20">
        <f>IF(AND(ISNUMBER(G361),ISNUMBER(I361)),IF(I361&gt;0,ROUND(G361/I361,2),""),"")</f>
        <v/>
      </c>
    </row>
    <row r="362">
      <c r="A362" s="18" t="n"/>
      <c r="G362" s="19" t="n"/>
      <c r="H362" s="20">
        <f>IF(COUNT(E362,G362)&lt;2,"",ROUND(E362*G362,2))</f>
        <v/>
      </c>
      <c r="J362" s="20">
        <f>IF(AND(ISNUMBER(G362),ISNUMBER(I362)),IF(I362&gt;0,ROUND(G362/I362,2),""),"")</f>
        <v/>
      </c>
    </row>
    <row r="363">
      <c r="A363" s="18" t="n"/>
      <c r="G363" s="19" t="n"/>
      <c r="H363" s="20">
        <f>IF(COUNT(E363,G363)&lt;2,"",ROUND(E363*G363,2))</f>
        <v/>
      </c>
      <c r="J363" s="20">
        <f>IF(AND(ISNUMBER(G363),ISNUMBER(I363)),IF(I363&gt;0,ROUND(G363/I363,2),""),"")</f>
        <v/>
      </c>
    </row>
    <row r="364">
      <c r="A364" s="18" t="n"/>
      <c r="G364" s="19" t="n"/>
      <c r="H364" s="20">
        <f>IF(COUNT(E364,G364)&lt;2,"",ROUND(E364*G364,2))</f>
        <v/>
      </c>
      <c r="J364" s="20">
        <f>IF(AND(ISNUMBER(G364),ISNUMBER(I364)),IF(I364&gt;0,ROUND(G364/I364,2),""),"")</f>
        <v/>
      </c>
    </row>
    <row r="365">
      <c r="A365" s="18" t="n"/>
      <c r="G365" s="19" t="n"/>
      <c r="H365" s="20">
        <f>IF(COUNT(E365,G365)&lt;2,"",ROUND(E365*G365,2))</f>
        <v/>
      </c>
      <c r="J365" s="20">
        <f>IF(AND(ISNUMBER(G365),ISNUMBER(I365)),IF(I365&gt;0,ROUND(G365/I365,2),""),"")</f>
        <v/>
      </c>
    </row>
    <row r="366">
      <c r="A366" s="18" t="n"/>
      <c r="G366" s="19" t="n"/>
      <c r="H366" s="20">
        <f>IF(COUNT(E366,G366)&lt;2,"",ROUND(E366*G366,2))</f>
        <v/>
      </c>
      <c r="J366" s="20">
        <f>IF(AND(ISNUMBER(G366),ISNUMBER(I366)),IF(I366&gt;0,ROUND(G366/I366,2),""),"")</f>
        <v/>
      </c>
    </row>
    <row r="367">
      <c r="A367" s="18" t="n"/>
      <c r="G367" s="19" t="n"/>
      <c r="H367" s="20">
        <f>IF(COUNT(E367,G367)&lt;2,"",ROUND(E367*G367,2))</f>
        <v/>
      </c>
      <c r="J367" s="20">
        <f>IF(AND(ISNUMBER(G367),ISNUMBER(I367)),IF(I367&gt;0,ROUND(G367/I367,2),""),"")</f>
        <v/>
      </c>
    </row>
    <row r="368">
      <c r="A368" s="18" t="n"/>
      <c r="G368" s="19" t="n"/>
      <c r="H368" s="20">
        <f>IF(COUNT(E368,G368)&lt;2,"",ROUND(E368*G368,2))</f>
        <v/>
      </c>
      <c r="J368" s="20">
        <f>IF(AND(ISNUMBER(G368),ISNUMBER(I368)),IF(I368&gt;0,ROUND(G368/I368,2),""),"")</f>
        <v/>
      </c>
    </row>
    <row r="369">
      <c r="A369" s="18" t="n"/>
      <c r="G369" s="19" t="n"/>
      <c r="H369" s="20">
        <f>IF(COUNT(E369,G369)&lt;2,"",ROUND(E369*G369,2))</f>
        <v/>
      </c>
      <c r="J369" s="20">
        <f>IF(AND(ISNUMBER(G369),ISNUMBER(I369)),IF(I369&gt;0,ROUND(G369/I369,2),""),"")</f>
        <v/>
      </c>
    </row>
    <row r="370">
      <c r="A370" s="18" t="n"/>
      <c r="G370" s="19" t="n"/>
      <c r="H370" s="20">
        <f>IF(COUNT(E370,G370)&lt;2,"",ROUND(E370*G370,2))</f>
        <v/>
      </c>
      <c r="J370" s="20">
        <f>IF(AND(ISNUMBER(G370),ISNUMBER(I370)),IF(I370&gt;0,ROUND(G370/I370,2),""),"")</f>
        <v/>
      </c>
    </row>
    <row r="371">
      <c r="A371" s="18" t="n"/>
      <c r="G371" s="19" t="n"/>
      <c r="H371" s="20">
        <f>IF(COUNT(E371,G371)&lt;2,"",ROUND(E371*G371,2))</f>
        <v/>
      </c>
      <c r="J371" s="20">
        <f>IF(AND(ISNUMBER(G371),ISNUMBER(I371)),IF(I371&gt;0,ROUND(G371/I371,2),""),"")</f>
        <v/>
      </c>
    </row>
    <row r="372">
      <c r="A372" s="18" t="n"/>
      <c r="G372" s="19" t="n"/>
      <c r="H372" s="20">
        <f>IF(COUNT(E372,G372)&lt;2,"",ROUND(E372*G372,2))</f>
        <v/>
      </c>
      <c r="J372" s="20">
        <f>IF(AND(ISNUMBER(G372),ISNUMBER(I372)),IF(I372&gt;0,ROUND(G372/I372,2),""),"")</f>
        <v/>
      </c>
    </row>
    <row r="373">
      <c r="A373" s="18" t="n"/>
      <c r="G373" s="19" t="n"/>
      <c r="H373" s="20">
        <f>IF(COUNT(E373,G373)&lt;2,"",ROUND(E373*G373,2))</f>
        <v/>
      </c>
      <c r="J373" s="20">
        <f>IF(AND(ISNUMBER(G373),ISNUMBER(I373)),IF(I373&gt;0,ROUND(G373/I373,2),""),"")</f>
        <v/>
      </c>
    </row>
    <row r="374">
      <c r="A374" s="18" t="n"/>
      <c r="G374" s="19" t="n"/>
      <c r="H374" s="20">
        <f>IF(COUNT(E374,G374)&lt;2,"",ROUND(E374*G374,2))</f>
        <v/>
      </c>
      <c r="J374" s="20">
        <f>IF(AND(ISNUMBER(G374),ISNUMBER(I374)),IF(I374&gt;0,ROUND(G374/I374,2),""),"")</f>
        <v/>
      </c>
    </row>
    <row r="375">
      <c r="A375" s="18" t="n"/>
      <c r="G375" s="19" t="n"/>
      <c r="H375" s="20">
        <f>IF(COUNT(E375,G375)&lt;2,"",ROUND(E375*G375,2))</f>
        <v/>
      </c>
      <c r="J375" s="20">
        <f>IF(AND(ISNUMBER(G375),ISNUMBER(I375)),IF(I375&gt;0,ROUND(G375/I375,2),""),"")</f>
        <v/>
      </c>
    </row>
    <row r="376">
      <c r="A376" s="18" t="n"/>
      <c r="G376" s="19" t="n"/>
      <c r="H376" s="20">
        <f>IF(COUNT(E376,G376)&lt;2,"",ROUND(E376*G376,2))</f>
        <v/>
      </c>
      <c r="J376" s="20">
        <f>IF(AND(ISNUMBER(G376),ISNUMBER(I376)),IF(I376&gt;0,ROUND(G376/I376,2),""),"")</f>
        <v/>
      </c>
    </row>
    <row r="377">
      <c r="A377" s="18" t="n"/>
      <c r="G377" s="19" t="n"/>
      <c r="H377" s="20">
        <f>IF(COUNT(E377,G377)&lt;2,"",ROUND(E377*G377,2))</f>
        <v/>
      </c>
      <c r="J377" s="20">
        <f>IF(AND(ISNUMBER(G377),ISNUMBER(I377)),IF(I377&gt;0,ROUND(G377/I377,2),""),"")</f>
        <v/>
      </c>
    </row>
    <row r="378">
      <c r="A378" s="18" t="n"/>
      <c r="G378" s="19" t="n"/>
      <c r="H378" s="20">
        <f>IF(COUNT(E378,G378)&lt;2,"",ROUND(E378*G378,2))</f>
        <v/>
      </c>
      <c r="J378" s="20">
        <f>IF(AND(ISNUMBER(G378),ISNUMBER(I378)),IF(I378&gt;0,ROUND(G378/I378,2),""),"")</f>
        <v/>
      </c>
    </row>
    <row r="379">
      <c r="A379" s="18" t="n"/>
      <c r="G379" s="19" t="n"/>
      <c r="H379" s="20">
        <f>IF(COUNT(E379,G379)&lt;2,"",ROUND(E379*G379,2))</f>
        <v/>
      </c>
      <c r="J379" s="20">
        <f>IF(AND(ISNUMBER(G379),ISNUMBER(I379)),IF(I379&gt;0,ROUND(G379/I379,2),""),"")</f>
        <v/>
      </c>
    </row>
    <row r="380">
      <c r="A380" s="18" t="n"/>
      <c r="G380" s="19" t="n"/>
      <c r="H380" s="20">
        <f>IF(COUNT(E380,G380)&lt;2,"",ROUND(E380*G380,2))</f>
        <v/>
      </c>
      <c r="J380" s="20">
        <f>IF(AND(ISNUMBER(G380),ISNUMBER(I380)),IF(I380&gt;0,ROUND(G380/I380,2),""),"")</f>
        <v/>
      </c>
    </row>
    <row r="381">
      <c r="A381" s="18" t="n"/>
      <c r="G381" s="19" t="n"/>
      <c r="H381" s="20">
        <f>IF(COUNT(E381,G381)&lt;2,"",ROUND(E381*G381,2))</f>
        <v/>
      </c>
      <c r="J381" s="20">
        <f>IF(AND(ISNUMBER(G381),ISNUMBER(I381)),IF(I381&gt;0,ROUND(G381/I381,2),""),"")</f>
        <v/>
      </c>
    </row>
    <row r="382">
      <c r="A382" s="18" t="n"/>
      <c r="G382" s="19" t="n"/>
      <c r="H382" s="20">
        <f>IF(COUNT(E382,G382)&lt;2,"",ROUND(E382*G382,2))</f>
        <v/>
      </c>
      <c r="J382" s="20">
        <f>IF(AND(ISNUMBER(G382),ISNUMBER(I382)),IF(I382&gt;0,ROUND(G382/I382,2),""),"")</f>
        <v/>
      </c>
    </row>
    <row r="383">
      <c r="A383" s="18" t="n"/>
      <c r="G383" s="19" t="n"/>
      <c r="H383" s="20">
        <f>IF(COUNT(E383,G383)&lt;2,"",ROUND(E383*G383,2))</f>
        <v/>
      </c>
      <c r="J383" s="20">
        <f>IF(AND(ISNUMBER(G383),ISNUMBER(I383)),IF(I383&gt;0,ROUND(G383/I383,2),""),"")</f>
        <v/>
      </c>
    </row>
    <row r="384">
      <c r="A384" s="18" t="n"/>
      <c r="G384" s="19" t="n"/>
      <c r="H384" s="20">
        <f>IF(COUNT(E384,G384)&lt;2,"",ROUND(E384*G384,2))</f>
        <v/>
      </c>
      <c r="J384" s="20">
        <f>IF(AND(ISNUMBER(G384),ISNUMBER(I384)),IF(I384&gt;0,ROUND(G384/I384,2),""),"")</f>
        <v/>
      </c>
    </row>
    <row r="385">
      <c r="A385" s="18" t="n"/>
      <c r="G385" s="19" t="n"/>
      <c r="H385" s="20">
        <f>IF(COUNT(E385,G385)&lt;2,"",ROUND(E385*G385,2))</f>
        <v/>
      </c>
      <c r="J385" s="20">
        <f>IF(AND(ISNUMBER(G385),ISNUMBER(I385)),IF(I385&gt;0,ROUND(G385/I385,2),""),"")</f>
        <v/>
      </c>
    </row>
    <row r="386">
      <c r="A386" s="18" t="n"/>
      <c r="G386" s="19" t="n"/>
      <c r="H386" s="20">
        <f>IF(COUNT(E386,G386)&lt;2,"",ROUND(E386*G386,2))</f>
        <v/>
      </c>
      <c r="J386" s="20">
        <f>IF(AND(ISNUMBER(G386),ISNUMBER(I386)),IF(I386&gt;0,ROUND(G386/I386,2),""),"")</f>
        <v/>
      </c>
    </row>
    <row r="387">
      <c r="A387" s="18" t="n"/>
      <c r="G387" s="19" t="n"/>
      <c r="H387" s="20">
        <f>IF(COUNT(E387,G387)&lt;2,"",ROUND(E387*G387,2))</f>
        <v/>
      </c>
      <c r="J387" s="20">
        <f>IF(AND(ISNUMBER(G387),ISNUMBER(I387)),IF(I387&gt;0,ROUND(G387/I387,2),""),"")</f>
        <v/>
      </c>
    </row>
    <row r="388">
      <c r="A388" s="18" t="n"/>
      <c r="G388" s="19" t="n"/>
      <c r="H388" s="20">
        <f>IF(COUNT(E388,G388)&lt;2,"",ROUND(E388*G388,2))</f>
        <v/>
      </c>
      <c r="J388" s="20">
        <f>IF(AND(ISNUMBER(G388),ISNUMBER(I388)),IF(I388&gt;0,ROUND(G388/I388,2),""),"")</f>
        <v/>
      </c>
    </row>
    <row r="389">
      <c r="A389" s="18" t="n"/>
      <c r="G389" s="19" t="n"/>
      <c r="H389" s="20">
        <f>IF(COUNT(E389,G389)&lt;2,"",ROUND(E389*G389,2))</f>
        <v/>
      </c>
      <c r="J389" s="20">
        <f>IF(AND(ISNUMBER(G389),ISNUMBER(I389)),IF(I389&gt;0,ROUND(G389/I389,2),""),"")</f>
        <v/>
      </c>
    </row>
    <row r="390">
      <c r="A390" s="18" t="n"/>
      <c r="G390" s="19" t="n"/>
      <c r="H390" s="20">
        <f>IF(COUNT(E390,G390)&lt;2,"",ROUND(E390*G390,2))</f>
        <v/>
      </c>
      <c r="J390" s="20">
        <f>IF(AND(ISNUMBER(G390),ISNUMBER(I390)),IF(I390&gt;0,ROUND(G390/I390,2),""),"")</f>
        <v/>
      </c>
    </row>
    <row r="391">
      <c r="A391" s="18" t="n"/>
      <c r="G391" s="19" t="n"/>
      <c r="H391" s="20">
        <f>IF(COUNT(E391,G391)&lt;2,"",ROUND(E391*G391,2))</f>
        <v/>
      </c>
      <c r="J391" s="20">
        <f>IF(AND(ISNUMBER(G391),ISNUMBER(I391)),IF(I391&gt;0,ROUND(G391/I391,2),""),"")</f>
        <v/>
      </c>
    </row>
    <row r="392">
      <c r="A392" s="18" t="n"/>
      <c r="G392" s="19" t="n"/>
      <c r="H392" s="20">
        <f>IF(COUNT(E392,G392)&lt;2,"",ROUND(E392*G392,2))</f>
        <v/>
      </c>
      <c r="J392" s="20">
        <f>IF(AND(ISNUMBER(G392),ISNUMBER(I392)),IF(I392&gt;0,ROUND(G392/I392,2),""),"")</f>
        <v/>
      </c>
    </row>
    <row r="393">
      <c r="A393" s="18" t="n"/>
      <c r="G393" s="19" t="n"/>
      <c r="H393" s="20">
        <f>IF(COUNT(E393,G393)&lt;2,"",ROUND(E393*G393,2))</f>
        <v/>
      </c>
      <c r="J393" s="20">
        <f>IF(AND(ISNUMBER(G393),ISNUMBER(I393)),IF(I393&gt;0,ROUND(G393/I393,2),""),"")</f>
        <v/>
      </c>
    </row>
    <row r="394">
      <c r="A394" s="18" t="n"/>
      <c r="G394" s="19" t="n"/>
      <c r="H394" s="20">
        <f>IF(COUNT(E394,G394)&lt;2,"",ROUND(E394*G394,2))</f>
        <v/>
      </c>
      <c r="J394" s="20">
        <f>IF(AND(ISNUMBER(G394),ISNUMBER(I394)),IF(I394&gt;0,ROUND(G394/I394,2),""),"")</f>
        <v/>
      </c>
    </row>
    <row r="395">
      <c r="A395" s="18" t="n"/>
      <c r="G395" s="19" t="n"/>
      <c r="H395" s="20">
        <f>IF(COUNT(E395,G395)&lt;2,"",ROUND(E395*G395,2))</f>
        <v/>
      </c>
      <c r="J395" s="20">
        <f>IF(AND(ISNUMBER(G395),ISNUMBER(I395)),IF(I395&gt;0,ROUND(G395/I395,2),""),"")</f>
        <v/>
      </c>
    </row>
    <row r="396">
      <c r="A396" s="18" t="n"/>
      <c r="G396" s="19" t="n"/>
      <c r="H396" s="20">
        <f>IF(COUNT(E396,G396)&lt;2,"",ROUND(E396*G396,2))</f>
        <v/>
      </c>
      <c r="J396" s="20">
        <f>IF(AND(ISNUMBER(G396),ISNUMBER(I396)),IF(I396&gt;0,ROUND(G396/I396,2),""),"")</f>
        <v/>
      </c>
    </row>
    <row r="397">
      <c r="A397" s="18" t="n"/>
      <c r="G397" s="19" t="n"/>
      <c r="H397" s="20">
        <f>IF(COUNT(E397,G397)&lt;2,"",ROUND(E397*G397,2))</f>
        <v/>
      </c>
      <c r="J397" s="20">
        <f>IF(AND(ISNUMBER(G397),ISNUMBER(I397)),IF(I397&gt;0,ROUND(G397/I397,2),""),"")</f>
        <v/>
      </c>
    </row>
    <row r="398">
      <c r="A398" s="18" t="n"/>
      <c r="G398" s="19" t="n"/>
      <c r="H398" s="20">
        <f>IF(COUNT(E398,G398)&lt;2,"",ROUND(E398*G398,2))</f>
        <v/>
      </c>
      <c r="J398" s="20">
        <f>IF(AND(ISNUMBER(G398),ISNUMBER(I398)),IF(I398&gt;0,ROUND(G398/I398,2),""),"")</f>
        <v/>
      </c>
    </row>
    <row r="399">
      <c r="A399" s="18" t="n"/>
      <c r="G399" s="19" t="n"/>
      <c r="H399" s="20">
        <f>IF(COUNT(E399,G399)&lt;2,"",ROUND(E399*G399,2))</f>
        <v/>
      </c>
      <c r="J399" s="20">
        <f>IF(AND(ISNUMBER(G399),ISNUMBER(I399)),IF(I399&gt;0,ROUND(G399/I399,2),""),"")</f>
        <v/>
      </c>
    </row>
    <row r="400">
      <c r="A400" s="18" t="n"/>
      <c r="G400" s="19" t="n"/>
      <c r="H400" s="20">
        <f>IF(COUNT(E400,G400)&lt;2,"",ROUND(E400*G400,2))</f>
        <v/>
      </c>
      <c r="J400" s="20">
        <f>IF(AND(ISNUMBER(G400),ISNUMBER(I400)),IF(I400&gt;0,ROUND(G400/I400,2),""),"")</f>
        <v/>
      </c>
    </row>
    <row r="401">
      <c r="A401" s="18" t="n"/>
      <c r="G401" s="19" t="n"/>
      <c r="H401" s="20">
        <f>IF(COUNT(E401,G401)&lt;2,"",ROUND(E401*G401,2))</f>
        <v/>
      </c>
      <c r="J401" s="20">
        <f>IF(AND(ISNUMBER(G401),ISNUMBER(I401)),IF(I401&gt;0,ROUND(G401/I401,2),""),"")</f>
        <v/>
      </c>
    </row>
    <row r="402">
      <c r="A402" s="18" t="n"/>
      <c r="G402" s="19" t="n"/>
      <c r="H402" s="20">
        <f>IF(COUNT(E402,G402)&lt;2,"",ROUND(E402*G402,2))</f>
        <v/>
      </c>
      <c r="J402" s="20">
        <f>IF(AND(ISNUMBER(G402),ISNUMBER(I402)),IF(I402&gt;0,ROUND(G402/I402,2),""),"")</f>
        <v/>
      </c>
    </row>
    <row r="403">
      <c r="A403" s="18" t="n"/>
      <c r="G403" s="19" t="n"/>
      <c r="H403" s="20">
        <f>IF(COUNT(E403,G403)&lt;2,"",ROUND(E403*G403,2))</f>
        <v/>
      </c>
      <c r="J403" s="20">
        <f>IF(AND(ISNUMBER(G403),ISNUMBER(I403)),IF(I403&gt;0,ROUND(G403/I403,2),""),"")</f>
        <v/>
      </c>
    </row>
    <row r="404">
      <c r="A404" s="18" t="n"/>
      <c r="G404" s="19" t="n"/>
      <c r="H404" s="20">
        <f>IF(COUNT(E404,G404)&lt;2,"",ROUND(E404*G404,2))</f>
        <v/>
      </c>
      <c r="J404" s="20">
        <f>IF(AND(ISNUMBER(G404),ISNUMBER(I404)),IF(I404&gt;0,ROUND(G404/I404,2),""),"")</f>
        <v/>
      </c>
    </row>
    <row r="405">
      <c r="A405" s="18" t="n"/>
      <c r="G405" s="19" t="n"/>
      <c r="H405" s="20">
        <f>IF(COUNT(E405,G405)&lt;2,"",ROUND(E405*G405,2))</f>
        <v/>
      </c>
      <c r="J405" s="20">
        <f>IF(AND(ISNUMBER(G405),ISNUMBER(I405)),IF(I405&gt;0,ROUND(G405/I405,2),""),"")</f>
        <v/>
      </c>
    </row>
    <row r="406">
      <c r="A406" s="18" t="n"/>
      <c r="G406" s="19" t="n"/>
      <c r="H406" s="20">
        <f>IF(COUNT(E406,G406)&lt;2,"",ROUND(E406*G406,2))</f>
        <v/>
      </c>
      <c r="J406" s="20">
        <f>IF(AND(ISNUMBER(G406),ISNUMBER(I406)),IF(I406&gt;0,ROUND(G406/I406,2),""),"")</f>
        <v/>
      </c>
    </row>
    <row r="407">
      <c r="A407" s="18" t="n"/>
      <c r="G407" s="19" t="n"/>
      <c r="H407" s="20">
        <f>IF(COUNT(E407,G407)&lt;2,"",ROUND(E407*G407,2))</f>
        <v/>
      </c>
      <c r="J407" s="20">
        <f>IF(AND(ISNUMBER(G407),ISNUMBER(I407)),IF(I407&gt;0,ROUND(G407/I407,2),""),"")</f>
        <v/>
      </c>
    </row>
    <row r="408">
      <c r="A408" s="18" t="n"/>
      <c r="G408" s="19" t="n"/>
      <c r="H408" s="20">
        <f>IF(COUNT(E408,G408)&lt;2,"",ROUND(E408*G408,2))</f>
        <v/>
      </c>
      <c r="J408" s="20">
        <f>IF(AND(ISNUMBER(G408),ISNUMBER(I408)),IF(I408&gt;0,ROUND(G408/I408,2),""),"")</f>
        <v/>
      </c>
    </row>
    <row r="409">
      <c r="A409" s="18" t="n"/>
      <c r="G409" s="19" t="n"/>
      <c r="H409" s="20">
        <f>IF(COUNT(E409,G409)&lt;2,"",ROUND(E409*G409,2))</f>
        <v/>
      </c>
      <c r="J409" s="20">
        <f>IF(AND(ISNUMBER(G409),ISNUMBER(I409)),IF(I409&gt;0,ROUND(G409/I409,2),""),"")</f>
        <v/>
      </c>
    </row>
    <row r="410">
      <c r="A410" s="18" t="n"/>
      <c r="G410" s="19" t="n"/>
      <c r="H410" s="20">
        <f>IF(COUNT(E410,G410)&lt;2,"",ROUND(E410*G410,2))</f>
        <v/>
      </c>
      <c r="J410" s="20">
        <f>IF(AND(ISNUMBER(G410),ISNUMBER(I410)),IF(I410&gt;0,ROUND(G410/I410,2),""),"")</f>
        <v/>
      </c>
    </row>
    <row r="411">
      <c r="A411" s="18" t="n"/>
      <c r="G411" s="19" t="n"/>
      <c r="H411" s="20">
        <f>IF(COUNT(E411,G411)&lt;2,"",ROUND(E411*G411,2))</f>
        <v/>
      </c>
      <c r="J411" s="20">
        <f>IF(AND(ISNUMBER(G411),ISNUMBER(I411)),IF(I411&gt;0,ROUND(G411/I411,2),""),"")</f>
        <v/>
      </c>
    </row>
    <row r="412">
      <c r="A412" s="18" t="n"/>
      <c r="G412" s="19" t="n"/>
      <c r="H412" s="20">
        <f>IF(COUNT(E412,G412)&lt;2,"",ROUND(E412*G412,2))</f>
        <v/>
      </c>
      <c r="J412" s="20">
        <f>IF(AND(ISNUMBER(G412),ISNUMBER(I412)),IF(I412&gt;0,ROUND(G412/I412,2),""),"")</f>
        <v/>
      </c>
    </row>
    <row r="413">
      <c r="A413" s="18" t="n"/>
      <c r="G413" s="19" t="n"/>
      <c r="H413" s="20">
        <f>IF(COUNT(E413,G413)&lt;2,"",ROUND(E413*G413,2))</f>
        <v/>
      </c>
      <c r="J413" s="20">
        <f>IF(AND(ISNUMBER(G413),ISNUMBER(I413)),IF(I413&gt;0,ROUND(G413/I413,2),""),"")</f>
        <v/>
      </c>
    </row>
    <row r="414">
      <c r="A414" s="18" t="n"/>
      <c r="G414" s="19" t="n"/>
      <c r="H414" s="20">
        <f>IF(COUNT(E414,G414)&lt;2,"",ROUND(E414*G414,2))</f>
        <v/>
      </c>
      <c r="J414" s="20">
        <f>IF(AND(ISNUMBER(G414),ISNUMBER(I414)),IF(I414&gt;0,ROUND(G414/I414,2),""),"")</f>
        <v/>
      </c>
    </row>
    <row r="415">
      <c r="A415" s="18" t="n"/>
      <c r="G415" s="19" t="n"/>
      <c r="H415" s="20">
        <f>IF(COUNT(E415,G415)&lt;2,"",ROUND(E415*G415,2))</f>
        <v/>
      </c>
      <c r="J415" s="20">
        <f>IF(AND(ISNUMBER(G415),ISNUMBER(I415)),IF(I415&gt;0,ROUND(G415/I415,2),""),"")</f>
        <v/>
      </c>
    </row>
    <row r="416">
      <c r="A416" s="18" t="n"/>
      <c r="G416" s="19" t="n"/>
      <c r="H416" s="20">
        <f>IF(COUNT(E416,G416)&lt;2,"",ROUND(E416*G416,2))</f>
        <v/>
      </c>
      <c r="J416" s="20">
        <f>IF(AND(ISNUMBER(G416),ISNUMBER(I416)),IF(I416&gt;0,ROUND(G416/I416,2),""),"")</f>
        <v/>
      </c>
    </row>
    <row r="417">
      <c r="A417" s="18" t="n"/>
      <c r="G417" s="19" t="n"/>
      <c r="H417" s="20">
        <f>IF(COUNT(E417,G417)&lt;2,"",ROUND(E417*G417,2))</f>
        <v/>
      </c>
      <c r="J417" s="20">
        <f>IF(AND(ISNUMBER(G417),ISNUMBER(I417)),IF(I417&gt;0,ROUND(G417/I417,2),""),"")</f>
        <v/>
      </c>
    </row>
    <row r="418">
      <c r="A418" s="18" t="n"/>
      <c r="G418" s="19" t="n"/>
      <c r="H418" s="20">
        <f>IF(COUNT(E418,G418)&lt;2,"",ROUND(E418*G418,2))</f>
        <v/>
      </c>
      <c r="J418" s="20">
        <f>IF(AND(ISNUMBER(G418),ISNUMBER(I418)),IF(I418&gt;0,ROUND(G418/I418,2),""),"")</f>
        <v/>
      </c>
    </row>
    <row r="419">
      <c r="A419" s="18" t="n"/>
      <c r="G419" s="19" t="n"/>
      <c r="H419" s="20">
        <f>IF(COUNT(E419,G419)&lt;2,"",ROUND(E419*G419,2))</f>
        <v/>
      </c>
      <c r="J419" s="20">
        <f>IF(AND(ISNUMBER(G419),ISNUMBER(I419)),IF(I419&gt;0,ROUND(G419/I419,2),""),"")</f>
        <v/>
      </c>
    </row>
    <row r="420">
      <c r="A420" s="18" t="n"/>
      <c r="G420" s="19" t="n"/>
      <c r="H420" s="20">
        <f>IF(COUNT(E420,G420)&lt;2,"",ROUND(E420*G420,2))</f>
        <v/>
      </c>
      <c r="J420" s="20">
        <f>IF(AND(ISNUMBER(G420),ISNUMBER(I420)),IF(I420&gt;0,ROUND(G420/I420,2),""),"")</f>
        <v/>
      </c>
    </row>
    <row r="421">
      <c r="A421" s="18" t="n"/>
      <c r="G421" s="19" t="n"/>
      <c r="H421" s="20">
        <f>IF(COUNT(E421,G421)&lt;2,"",ROUND(E421*G421,2))</f>
        <v/>
      </c>
      <c r="J421" s="20">
        <f>IF(AND(ISNUMBER(G421),ISNUMBER(I421)),IF(I421&gt;0,ROUND(G421/I421,2),""),"")</f>
        <v/>
      </c>
    </row>
    <row r="422">
      <c r="A422" s="18" t="n"/>
      <c r="G422" s="19" t="n"/>
      <c r="H422" s="20">
        <f>IF(COUNT(E422,G422)&lt;2,"",ROUND(E422*G422,2))</f>
        <v/>
      </c>
      <c r="J422" s="20">
        <f>IF(AND(ISNUMBER(G422),ISNUMBER(I422)),IF(I422&gt;0,ROUND(G422/I422,2),""),"")</f>
        <v/>
      </c>
    </row>
    <row r="423">
      <c r="A423" s="18" t="n"/>
      <c r="G423" s="19" t="n"/>
      <c r="H423" s="20">
        <f>IF(COUNT(E423,G423)&lt;2,"",ROUND(E423*G423,2))</f>
        <v/>
      </c>
      <c r="J423" s="20">
        <f>IF(AND(ISNUMBER(G423),ISNUMBER(I423)),IF(I423&gt;0,ROUND(G423/I423,2),""),"")</f>
        <v/>
      </c>
    </row>
    <row r="424">
      <c r="A424" s="18" t="n"/>
      <c r="G424" s="19" t="n"/>
      <c r="H424" s="20">
        <f>IF(COUNT(E424,G424)&lt;2,"",ROUND(E424*G424,2))</f>
        <v/>
      </c>
      <c r="J424" s="20">
        <f>IF(AND(ISNUMBER(G424),ISNUMBER(I424)),IF(I424&gt;0,ROUND(G424/I424,2),""),"")</f>
        <v/>
      </c>
    </row>
    <row r="425">
      <c r="A425" s="18" t="n"/>
      <c r="G425" s="19" t="n"/>
      <c r="H425" s="20">
        <f>IF(COUNT(E425,G425)&lt;2,"",ROUND(E425*G425,2))</f>
        <v/>
      </c>
      <c r="J425" s="20">
        <f>IF(AND(ISNUMBER(G425),ISNUMBER(I425)),IF(I425&gt;0,ROUND(G425/I425,2),""),"")</f>
        <v/>
      </c>
    </row>
    <row r="426">
      <c r="A426" s="18" t="n"/>
      <c r="G426" s="19" t="n"/>
      <c r="H426" s="20">
        <f>IF(COUNT(E426,G426)&lt;2,"",ROUND(E426*G426,2))</f>
        <v/>
      </c>
      <c r="J426" s="20">
        <f>IF(AND(ISNUMBER(G426),ISNUMBER(I426)),IF(I426&gt;0,ROUND(G426/I426,2),""),"")</f>
        <v/>
      </c>
    </row>
    <row r="427">
      <c r="A427" s="18" t="n"/>
      <c r="G427" s="19" t="n"/>
      <c r="H427" s="20">
        <f>IF(COUNT(E427,G427)&lt;2,"",ROUND(E427*G427,2))</f>
        <v/>
      </c>
      <c r="J427" s="20">
        <f>IF(AND(ISNUMBER(G427),ISNUMBER(I427)),IF(I427&gt;0,ROUND(G427/I427,2),""),"")</f>
        <v/>
      </c>
    </row>
    <row r="428">
      <c r="A428" s="18" t="n"/>
      <c r="G428" s="19" t="n"/>
      <c r="H428" s="20">
        <f>IF(COUNT(E428,G428)&lt;2,"",ROUND(E428*G428,2))</f>
        <v/>
      </c>
      <c r="J428" s="20">
        <f>IF(AND(ISNUMBER(G428),ISNUMBER(I428)),IF(I428&gt;0,ROUND(G428/I428,2),""),"")</f>
        <v/>
      </c>
    </row>
    <row r="429">
      <c r="A429" s="18" t="n"/>
      <c r="G429" s="19" t="n"/>
      <c r="H429" s="20">
        <f>IF(COUNT(E429,G429)&lt;2,"",ROUND(E429*G429,2))</f>
        <v/>
      </c>
      <c r="J429" s="20">
        <f>IF(AND(ISNUMBER(G429),ISNUMBER(I429)),IF(I429&gt;0,ROUND(G429/I429,2),""),"")</f>
        <v/>
      </c>
    </row>
    <row r="430">
      <c r="A430" s="18" t="n"/>
      <c r="G430" s="19" t="n"/>
      <c r="H430" s="20">
        <f>IF(COUNT(E430,G430)&lt;2,"",ROUND(E430*G430,2))</f>
        <v/>
      </c>
      <c r="J430" s="20">
        <f>IF(AND(ISNUMBER(G430),ISNUMBER(I430)),IF(I430&gt;0,ROUND(G430/I430,2),""),"")</f>
        <v/>
      </c>
    </row>
    <row r="431">
      <c r="A431" s="18" t="n"/>
      <c r="G431" s="19" t="n"/>
      <c r="H431" s="20">
        <f>IF(COUNT(E431,G431)&lt;2,"",ROUND(E431*G431,2))</f>
        <v/>
      </c>
      <c r="J431" s="20">
        <f>IF(AND(ISNUMBER(G431),ISNUMBER(I431)),IF(I431&gt;0,ROUND(G431/I431,2),""),"")</f>
        <v/>
      </c>
    </row>
    <row r="432">
      <c r="A432" s="18" t="n"/>
      <c r="G432" s="19" t="n"/>
      <c r="H432" s="20">
        <f>IF(COUNT(E432,G432)&lt;2,"",ROUND(E432*G432,2))</f>
        <v/>
      </c>
      <c r="J432" s="20">
        <f>IF(AND(ISNUMBER(G432),ISNUMBER(I432)),IF(I432&gt;0,ROUND(G432/I432,2),""),"")</f>
        <v/>
      </c>
    </row>
    <row r="433">
      <c r="A433" s="18" t="n"/>
      <c r="G433" s="19" t="n"/>
      <c r="H433" s="20">
        <f>IF(COUNT(E433,G433)&lt;2,"",ROUND(E433*G433,2))</f>
        <v/>
      </c>
      <c r="J433" s="20">
        <f>IF(AND(ISNUMBER(G433),ISNUMBER(I433)),IF(I433&gt;0,ROUND(G433/I433,2),""),"")</f>
        <v/>
      </c>
    </row>
    <row r="434">
      <c r="A434" s="18" t="n"/>
      <c r="G434" s="19" t="n"/>
      <c r="H434" s="20">
        <f>IF(COUNT(E434,G434)&lt;2,"",ROUND(E434*G434,2))</f>
        <v/>
      </c>
      <c r="J434" s="20">
        <f>IF(AND(ISNUMBER(G434),ISNUMBER(I434)),IF(I434&gt;0,ROUND(G434/I434,2),""),"")</f>
        <v/>
      </c>
    </row>
    <row r="435">
      <c r="A435" s="18" t="n"/>
      <c r="G435" s="19" t="n"/>
      <c r="H435" s="20">
        <f>IF(COUNT(E435,G435)&lt;2,"",ROUND(E435*G435,2))</f>
        <v/>
      </c>
      <c r="J435" s="20">
        <f>IF(AND(ISNUMBER(G435),ISNUMBER(I435)),IF(I435&gt;0,ROUND(G435/I435,2),""),"")</f>
        <v/>
      </c>
    </row>
    <row r="436">
      <c r="A436" s="18" t="n"/>
      <c r="G436" s="19" t="n"/>
      <c r="H436" s="20">
        <f>IF(COUNT(E436,G436)&lt;2,"",ROUND(E436*G436,2))</f>
        <v/>
      </c>
      <c r="J436" s="20">
        <f>IF(AND(ISNUMBER(G436),ISNUMBER(I436)),IF(I436&gt;0,ROUND(G436/I436,2),""),"")</f>
        <v/>
      </c>
    </row>
    <row r="437">
      <c r="A437" s="18" t="n"/>
      <c r="G437" s="19" t="n"/>
      <c r="H437" s="20">
        <f>IF(COUNT(E437,G437)&lt;2,"",ROUND(E437*G437,2))</f>
        <v/>
      </c>
      <c r="J437" s="20">
        <f>IF(AND(ISNUMBER(G437),ISNUMBER(I437)),IF(I437&gt;0,ROUND(G437/I437,2),""),"")</f>
        <v/>
      </c>
    </row>
    <row r="438">
      <c r="A438" s="18" t="n"/>
      <c r="G438" s="19" t="n"/>
      <c r="H438" s="20">
        <f>IF(COUNT(E438,G438)&lt;2,"",ROUND(E438*G438,2))</f>
        <v/>
      </c>
      <c r="J438" s="20">
        <f>IF(AND(ISNUMBER(G438),ISNUMBER(I438)),IF(I438&gt;0,ROUND(G438/I438,2),""),"")</f>
        <v/>
      </c>
    </row>
    <row r="439">
      <c r="A439" s="18" t="n"/>
      <c r="G439" s="19" t="n"/>
      <c r="H439" s="20">
        <f>IF(COUNT(E439,G439)&lt;2,"",ROUND(E439*G439,2))</f>
        <v/>
      </c>
      <c r="J439" s="20">
        <f>IF(AND(ISNUMBER(G439),ISNUMBER(I439)),IF(I439&gt;0,ROUND(G439/I439,2),""),"")</f>
        <v/>
      </c>
    </row>
    <row r="440">
      <c r="A440" s="18" t="n"/>
      <c r="G440" s="19" t="n"/>
      <c r="H440" s="20">
        <f>IF(COUNT(E440,G440)&lt;2,"",ROUND(E440*G440,2))</f>
        <v/>
      </c>
      <c r="J440" s="20">
        <f>IF(AND(ISNUMBER(G440),ISNUMBER(I440)),IF(I440&gt;0,ROUND(G440/I440,2),""),"")</f>
        <v/>
      </c>
    </row>
    <row r="441">
      <c r="A441" s="18" t="n"/>
      <c r="G441" s="19" t="n"/>
      <c r="H441" s="20">
        <f>IF(COUNT(E441,G441)&lt;2,"",ROUND(E441*G441,2))</f>
        <v/>
      </c>
      <c r="J441" s="20">
        <f>IF(AND(ISNUMBER(G441),ISNUMBER(I441)),IF(I441&gt;0,ROUND(G441/I441,2),""),"")</f>
        <v/>
      </c>
    </row>
    <row r="442">
      <c r="A442" s="18" t="n"/>
      <c r="G442" s="19" t="n"/>
      <c r="H442" s="20">
        <f>IF(COUNT(E442,G442)&lt;2,"",ROUND(E442*G442,2))</f>
        <v/>
      </c>
      <c r="J442" s="20">
        <f>IF(AND(ISNUMBER(G442),ISNUMBER(I442)),IF(I442&gt;0,ROUND(G442/I442,2),""),"")</f>
        <v/>
      </c>
    </row>
    <row r="443">
      <c r="A443" s="18" t="n"/>
      <c r="G443" s="19" t="n"/>
      <c r="H443" s="20">
        <f>IF(COUNT(E443,G443)&lt;2,"",ROUND(E443*G443,2))</f>
        <v/>
      </c>
      <c r="J443" s="20">
        <f>IF(AND(ISNUMBER(G443),ISNUMBER(I443)),IF(I443&gt;0,ROUND(G443/I443,2),""),"")</f>
        <v/>
      </c>
    </row>
    <row r="444">
      <c r="A444" s="18" t="n"/>
      <c r="G444" s="19" t="n"/>
      <c r="H444" s="20">
        <f>IF(COUNT(E444,G444)&lt;2,"",ROUND(E444*G444,2))</f>
        <v/>
      </c>
      <c r="J444" s="20">
        <f>IF(AND(ISNUMBER(G444),ISNUMBER(I444)),IF(I444&gt;0,ROUND(G444/I444,2),""),"")</f>
        <v/>
      </c>
    </row>
    <row r="445">
      <c r="A445" s="18" t="n"/>
      <c r="G445" s="19" t="n"/>
      <c r="H445" s="20">
        <f>IF(COUNT(E445,G445)&lt;2,"",ROUND(E445*G445,2))</f>
        <v/>
      </c>
      <c r="J445" s="20">
        <f>IF(AND(ISNUMBER(G445),ISNUMBER(I445)),IF(I445&gt;0,ROUND(G445/I445,2),""),"")</f>
        <v/>
      </c>
    </row>
    <row r="446">
      <c r="A446" s="18" t="n"/>
      <c r="G446" s="19" t="n"/>
      <c r="H446" s="20">
        <f>IF(COUNT(E446,G446)&lt;2,"",ROUND(E446*G446,2))</f>
        <v/>
      </c>
      <c r="J446" s="20">
        <f>IF(AND(ISNUMBER(G446),ISNUMBER(I446)),IF(I446&gt;0,ROUND(G446/I446,2),""),"")</f>
        <v/>
      </c>
    </row>
    <row r="447">
      <c r="A447" s="18" t="n"/>
      <c r="G447" s="19" t="n"/>
      <c r="H447" s="20">
        <f>IF(COUNT(E447,G447)&lt;2,"",ROUND(E447*G447,2))</f>
        <v/>
      </c>
      <c r="J447" s="20">
        <f>IF(AND(ISNUMBER(G447),ISNUMBER(I447)),IF(I447&gt;0,ROUND(G447/I447,2),""),"")</f>
        <v/>
      </c>
    </row>
    <row r="448">
      <c r="A448" s="18" t="n"/>
      <c r="G448" s="19" t="n"/>
      <c r="H448" s="20">
        <f>IF(COUNT(E448,G448)&lt;2,"",ROUND(E448*G448,2))</f>
        <v/>
      </c>
      <c r="J448" s="20">
        <f>IF(AND(ISNUMBER(G448),ISNUMBER(I448)),IF(I448&gt;0,ROUND(G448/I448,2),""),"")</f>
        <v/>
      </c>
    </row>
    <row r="449">
      <c r="A449" s="18" t="n"/>
      <c r="G449" s="19" t="n"/>
      <c r="H449" s="20">
        <f>IF(COUNT(E449,G449)&lt;2,"",ROUND(E449*G449,2))</f>
        <v/>
      </c>
      <c r="J449" s="20">
        <f>IF(AND(ISNUMBER(G449),ISNUMBER(I449)),IF(I449&gt;0,ROUND(G449/I449,2),""),"")</f>
        <v/>
      </c>
    </row>
    <row r="450">
      <c r="A450" s="18" t="n"/>
      <c r="G450" s="19" t="n"/>
      <c r="H450" s="20">
        <f>IF(COUNT(E450,G450)&lt;2,"",ROUND(E450*G450,2))</f>
        <v/>
      </c>
      <c r="J450" s="20">
        <f>IF(AND(ISNUMBER(G450),ISNUMBER(I450)),IF(I450&gt;0,ROUND(G450/I450,2),""),"")</f>
        <v/>
      </c>
    </row>
    <row r="451">
      <c r="A451" s="18" t="n"/>
      <c r="G451" s="19" t="n"/>
      <c r="H451" s="20">
        <f>IF(COUNT(E451,G451)&lt;2,"",ROUND(E451*G451,2))</f>
        <v/>
      </c>
      <c r="J451" s="20">
        <f>IF(AND(ISNUMBER(G451),ISNUMBER(I451)),IF(I451&gt;0,ROUND(G451/I451,2),""),"")</f>
        <v/>
      </c>
    </row>
    <row r="452">
      <c r="A452" s="18" t="n"/>
      <c r="G452" s="19" t="n"/>
      <c r="H452" s="20">
        <f>IF(COUNT(E452,G452)&lt;2,"",ROUND(E452*G452,2))</f>
        <v/>
      </c>
      <c r="J452" s="20">
        <f>IF(AND(ISNUMBER(G452),ISNUMBER(I452)),IF(I452&gt;0,ROUND(G452/I452,2),""),"")</f>
        <v/>
      </c>
    </row>
    <row r="453">
      <c r="A453" s="18" t="n"/>
      <c r="G453" s="19" t="n"/>
      <c r="H453" s="20">
        <f>IF(COUNT(E453,G453)&lt;2,"",ROUND(E453*G453,2))</f>
        <v/>
      </c>
      <c r="J453" s="20">
        <f>IF(AND(ISNUMBER(G453),ISNUMBER(I453)),IF(I453&gt;0,ROUND(G453/I453,2),""),"")</f>
        <v/>
      </c>
    </row>
    <row r="454">
      <c r="A454" s="18" t="n"/>
      <c r="G454" s="19" t="n"/>
      <c r="H454" s="20">
        <f>IF(COUNT(E454,G454)&lt;2,"",ROUND(E454*G454,2))</f>
        <v/>
      </c>
      <c r="J454" s="20">
        <f>IF(AND(ISNUMBER(G454),ISNUMBER(I454)),IF(I454&gt;0,ROUND(G454/I454,2),""),"")</f>
        <v/>
      </c>
    </row>
    <row r="455">
      <c r="A455" s="18" t="n"/>
      <c r="G455" s="19" t="n"/>
      <c r="H455" s="20">
        <f>IF(COUNT(E455,G455)&lt;2,"",ROUND(E455*G455,2))</f>
        <v/>
      </c>
      <c r="J455" s="20">
        <f>IF(AND(ISNUMBER(G455),ISNUMBER(I455)),IF(I455&gt;0,ROUND(G455/I455,2),""),"")</f>
        <v/>
      </c>
    </row>
    <row r="456">
      <c r="A456" s="18" t="n"/>
      <c r="G456" s="19" t="n"/>
      <c r="H456" s="20">
        <f>IF(COUNT(E456,G456)&lt;2,"",ROUND(E456*G456,2))</f>
        <v/>
      </c>
      <c r="J456" s="20">
        <f>IF(AND(ISNUMBER(G456),ISNUMBER(I456)),IF(I456&gt;0,ROUND(G456/I456,2),""),"")</f>
        <v/>
      </c>
    </row>
    <row r="457">
      <c r="A457" s="18" t="n"/>
      <c r="G457" s="19" t="n"/>
      <c r="H457" s="20">
        <f>IF(COUNT(E457,G457)&lt;2,"",ROUND(E457*G457,2))</f>
        <v/>
      </c>
      <c r="J457" s="20">
        <f>IF(AND(ISNUMBER(G457),ISNUMBER(I457)),IF(I457&gt;0,ROUND(G457/I457,2),""),"")</f>
        <v/>
      </c>
    </row>
    <row r="458">
      <c r="A458" s="18" t="n"/>
      <c r="G458" s="19" t="n"/>
      <c r="H458" s="20">
        <f>IF(COUNT(E458,G458)&lt;2,"",ROUND(E458*G458,2))</f>
        <v/>
      </c>
      <c r="J458" s="20">
        <f>IF(AND(ISNUMBER(G458),ISNUMBER(I458)),IF(I458&gt;0,ROUND(G458/I458,2),""),"")</f>
        <v/>
      </c>
    </row>
    <row r="459">
      <c r="A459" s="18" t="n"/>
      <c r="G459" s="19" t="n"/>
      <c r="H459" s="20">
        <f>IF(COUNT(E459,G459)&lt;2,"",ROUND(E459*G459,2))</f>
        <v/>
      </c>
      <c r="J459" s="20">
        <f>IF(AND(ISNUMBER(G459),ISNUMBER(I459)),IF(I459&gt;0,ROUND(G459/I459,2),""),"")</f>
        <v/>
      </c>
    </row>
    <row r="460">
      <c r="A460" s="18" t="n"/>
      <c r="G460" s="19" t="n"/>
      <c r="H460" s="20">
        <f>IF(COUNT(E460,G460)&lt;2,"",ROUND(E460*G460,2))</f>
        <v/>
      </c>
      <c r="J460" s="20">
        <f>IF(AND(ISNUMBER(G460),ISNUMBER(I460)),IF(I460&gt;0,ROUND(G460/I460,2),""),"")</f>
        <v/>
      </c>
    </row>
    <row r="461">
      <c r="A461" s="18" t="n"/>
      <c r="G461" s="19" t="n"/>
      <c r="H461" s="20">
        <f>IF(COUNT(E461,G461)&lt;2,"",ROUND(E461*G461,2))</f>
        <v/>
      </c>
      <c r="J461" s="20">
        <f>IF(AND(ISNUMBER(G461),ISNUMBER(I461)),IF(I461&gt;0,ROUND(G461/I461,2),""),"")</f>
        <v/>
      </c>
    </row>
    <row r="462">
      <c r="A462" s="18" t="n"/>
      <c r="G462" s="19" t="n"/>
      <c r="H462" s="20">
        <f>IF(COUNT(E462,G462)&lt;2,"",ROUND(E462*G462,2))</f>
        <v/>
      </c>
      <c r="J462" s="20">
        <f>IF(AND(ISNUMBER(G462),ISNUMBER(I462)),IF(I462&gt;0,ROUND(G462/I462,2),""),"")</f>
        <v/>
      </c>
    </row>
    <row r="463">
      <c r="A463" s="18" t="n"/>
      <c r="G463" s="19" t="n"/>
      <c r="H463" s="20">
        <f>IF(COUNT(E463,G463)&lt;2,"",ROUND(E463*G463,2))</f>
        <v/>
      </c>
      <c r="J463" s="20">
        <f>IF(AND(ISNUMBER(G463),ISNUMBER(I463)),IF(I463&gt;0,ROUND(G463/I463,2),""),"")</f>
        <v/>
      </c>
    </row>
    <row r="464">
      <c r="A464" s="18" t="n"/>
      <c r="G464" s="19" t="n"/>
      <c r="H464" s="20">
        <f>IF(COUNT(E464,G464)&lt;2,"",ROUND(E464*G464,2))</f>
        <v/>
      </c>
      <c r="J464" s="20">
        <f>IF(AND(ISNUMBER(G464),ISNUMBER(I464)),IF(I464&gt;0,ROUND(G464/I464,2),""),"")</f>
        <v/>
      </c>
    </row>
    <row r="465">
      <c r="A465" s="18" t="n"/>
      <c r="G465" s="19" t="n"/>
      <c r="H465" s="20">
        <f>IF(COUNT(E465,G465)&lt;2,"",ROUND(E465*G465,2))</f>
        <v/>
      </c>
      <c r="J465" s="20">
        <f>IF(AND(ISNUMBER(G465),ISNUMBER(I465)),IF(I465&gt;0,ROUND(G465/I465,2),""),"")</f>
        <v/>
      </c>
    </row>
    <row r="466">
      <c r="A466" s="18" t="n"/>
      <c r="G466" s="19" t="n"/>
      <c r="H466" s="20">
        <f>IF(COUNT(E466,G466)&lt;2,"",ROUND(E466*G466,2))</f>
        <v/>
      </c>
      <c r="J466" s="20">
        <f>IF(AND(ISNUMBER(G466),ISNUMBER(I466)),IF(I466&gt;0,ROUND(G466/I466,2),""),"")</f>
        <v/>
      </c>
    </row>
    <row r="467">
      <c r="A467" s="18" t="n"/>
      <c r="G467" s="19" t="n"/>
      <c r="H467" s="20">
        <f>IF(COUNT(E467,G467)&lt;2,"",ROUND(E467*G467,2))</f>
        <v/>
      </c>
      <c r="J467" s="20">
        <f>IF(AND(ISNUMBER(G467),ISNUMBER(I467)),IF(I467&gt;0,ROUND(G467/I467,2),""),"")</f>
        <v/>
      </c>
    </row>
    <row r="468">
      <c r="A468" s="18" t="n"/>
      <c r="G468" s="19" t="n"/>
      <c r="H468" s="20">
        <f>IF(COUNT(E468,G468)&lt;2,"",ROUND(E468*G468,2))</f>
        <v/>
      </c>
      <c r="J468" s="20">
        <f>IF(AND(ISNUMBER(G468),ISNUMBER(I468)),IF(I468&gt;0,ROUND(G468/I468,2),""),"")</f>
        <v/>
      </c>
    </row>
    <row r="469">
      <c r="A469" s="18" t="n"/>
      <c r="G469" s="19" t="n"/>
      <c r="H469" s="20">
        <f>IF(COUNT(E469,G469)&lt;2,"",ROUND(E469*G469,2))</f>
        <v/>
      </c>
      <c r="J469" s="20">
        <f>IF(AND(ISNUMBER(G469),ISNUMBER(I469)),IF(I469&gt;0,ROUND(G469/I469,2),""),"")</f>
        <v/>
      </c>
    </row>
    <row r="470">
      <c r="A470" s="18" t="n"/>
      <c r="G470" s="19" t="n"/>
      <c r="H470" s="20">
        <f>IF(COUNT(E470,G470)&lt;2,"",ROUND(E470*G470,2))</f>
        <v/>
      </c>
      <c r="J470" s="20">
        <f>IF(AND(ISNUMBER(G470),ISNUMBER(I470)),IF(I470&gt;0,ROUND(G470/I470,2),""),"")</f>
        <v/>
      </c>
    </row>
    <row r="471">
      <c r="A471" s="18" t="n"/>
      <c r="G471" s="19" t="n"/>
      <c r="H471" s="20">
        <f>IF(COUNT(E471,G471)&lt;2,"",ROUND(E471*G471,2))</f>
        <v/>
      </c>
      <c r="J471" s="20">
        <f>IF(AND(ISNUMBER(G471),ISNUMBER(I471)),IF(I471&gt;0,ROUND(G471/I471,2),""),"")</f>
        <v/>
      </c>
    </row>
    <row r="472">
      <c r="A472" s="18" t="n"/>
      <c r="G472" s="19" t="n"/>
      <c r="H472" s="20">
        <f>IF(COUNT(E472,G472)&lt;2,"",ROUND(E472*G472,2))</f>
        <v/>
      </c>
      <c r="J472" s="20">
        <f>IF(AND(ISNUMBER(G472),ISNUMBER(I472)),IF(I472&gt;0,ROUND(G472/I472,2),""),"")</f>
        <v/>
      </c>
    </row>
    <row r="473">
      <c r="A473" s="18" t="n"/>
      <c r="G473" s="19" t="n"/>
      <c r="H473" s="20">
        <f>IF(COUNT(E473,G473)&lt;2,"",ROUND(E473*G473,2))</f>
        <v/>
      </c>
      <c r="J473" s="20">
        <f>IF(AND(ISNUMBER(G473),ISNUMBER(I473)),IF(I473&gt;0,ROUND(G473/I473,2),""),"")</f>
        <v/>
      </c>
    </row>
    <row r="474">
      <c r="A474" s="18" t="n"/>
      <c r="G474" s="19" t="n"/>
      <c r="H474" s="20">
        <f>IF(COUNT(E474,G474)&lt;2,"",ROUND(E474*G474,2))</f>
        <v/>
      </c>
      <c r="J474" s="20">
        <f>IF(AND(ISNUMBER(G474),ISNUMBER(I474)),IF(I474&gt;0,ROUND(G474/I474,2),""),"")</f>
        <v/>
      </c>
    </row>
    <row r="475">
      <c r="A475" s="18" t="n"/>
      <c r="G475" s="19" t="n"/>
      <c r="H475" s="20">
        <f>IF(COUNT(E475,G475)&lt;2,"",ROUND(E475*G475,2))</f>
        <v/>
      </c>
      <c r="J475" s="20">
        <f>IF(AND(ISNUMBER(G475),ISNUMBER(I475)),IF(I475&gt;0,ROUND(G475/I475,2),""),"")</f>
        <v/>
      </c>
    </row>
    <row r="476">
      <c r="A476" s="18" t="n"/>
      <c r="G476" s="19" t="n"/>
      <c r="H476" s="20">
        <f>IF(COUNT(E476,G476)&lt;2,"",ROUND(E476*G476,2))</f>
        <v/>
      </c>
      <c r="J476" s="20">
        <f>IF(AND(ISNUMBER(G476),ISNUMBER(I476)),IF(I476&gt;0,ROUND(G476/I476,2),""),"")</f>
        <v/>
      </c>
    </row>
    <row r="477">
      <c r="A477" s="18" t="n"/>
      <c r="G477" s="19" t="n"/>
      <c r="H477" s="20">
        <f>IF(COUNT(E477,G477)&lt;2,"",ROUND(E477*G477,2))</f>
        <v/>
      </c>
      <c r="J477" s="20">
        <f>IF(AND(ISNUMBER(G477),ISNUMBER(I477)),IF(I477&gt;0,ROUND(G477/I477,2),""),"")</f>
        <v/>
      </c>
    </row>
    <row r="478">
      <c r="A478" s="18" t="n"/>
      <c r="G478" s="19" t="n"/>
      <c r="H478" s="20">
        <f>IF(COUNT(E478,G478)&lt;2,"",ROUND(E478*G478,2))</f>
        <v/>
      </c>
      <c r="J478" s="20">
        <f>IF(AND(ISNUMBER(G478),ISNUMBER(I478)),IF(I478&gt;0,ROUND(G478/I478,2),""),"")</f>
        <v/>
      </c>
    </row>
    <row r="479">
      <c r="A479" s="18" t="n"/>
      <c r="G479" s="19" t="n"/>
      <c r="H479" s="20">
        <f>IF(COUNT(E479,G479)&lt;2,"",ROUND(E479*G479,2))</f>
        <v/>
      </c>
      <c r="J479" s="20">
        <f>IF(AND(ISNUMBER(G479),ISNUMBER(I479)),IF(I479&gt;0,ROUND(G479/I479,2),""),"")</f>
        <v/>
      </c>
    </row>
    <row r="480">
      <c r="A480" s="18" t="n"/>
      <c r="G480" s="19" t="n"/>
      <c r="H480" s="20">
        <f>IF(COUNT(E480,G480)&lt;2,"",ROUND(E480*G480,2))</f>
        <v/>
      </c>
      <c r="J480" s="20">
        <f>IF(AND(ISNUMBER(G480),ISNUMBER(I480)),IF(I480&gt;0,ROUND(G480/I480,2),""),"")</f>
        <v/>
      </c>
    </row>
    <row r="481">
      <c r="A481" s="18" t="n"/>
      <c r="G481" s="19" t="n"/>
      <c r="H481" s="20">
        <f>IF(COUNT(E481,G481)&lt;2,"",ROUND(E481*G481,2))</f>
        <v/>
      </c>
      <c r="J481" s="20">
        <f>IF(AND(ISNUMBER(G481),ISNUMBER(I481)),IF(I481&gt;0,ROUND(G481/I481,2),""),"")</f>
        <v/>
      </c>
    </row>
    <row r="482">
      <c r="A482" s="18" t="n"/>
      <c r="G482" s="19" t="n"/>
      <c r="H482" s="20">
        <f>IF(COUNT(E482,G482)&lt;2,"",ROUND(E482*G482,2))</f>
        <v/>
      </c>
      <c r="J482" s="20">
        <f>IF(AND(ISNUMBER(G482),ISNUMBER(I482)),IF(I482&gt;0,ROUND(G482/I482,2),""),"")</f>
        <v/>
      </c>
    </row>
    <row r="483">
      <c r="A483" s="18" t="n"/>
      <c r="G483" s="19" t="n"/>
      <c r="H483" s="20">
        <f>IF(COUNT(E483,G483)&lt;2,"",ROUND(E483*G483,2))</f>
        <v/>
      </c>
      <c r="J483" s="20">
        <f>IF(AND(ISNUMBER(G483),ISNUMBER(I483)),IF(I483&gt;0,ROUND(G483/I483,2),""),"")</f>
        <v/>
      </c>
    </row>
    <row r="484">
      <c r="A484" s="18" t="n"/>
      <c r="G484" s="19" t="n"/>
      <c r="H484" s="20">
        <f>IF(COUNT(E484,G484)&lt;2,"",ROUND(E484*G484,2))</f>
        <v/>
      </c>
      <c r="J484" s="20">
        <f>IF(AND(ISNUMBER(G484),ISNUMBER(I484)),IF(I484&gt;0,ROUND(G484/I484,2),""),"")</f>
        <v/>
      </c>
    </row>
    <row r="485">
      <c r="A485" s="18" t="n"/>
      <c r="G485" s="19" t="n"/>
      <c r="H485" s="20">
        <f>IF(COUNT(E485,G485)&lt;2,"",ROUND(E485*G485,2))</f>
        <v/>
      </c>
      <c r="J485" s="20">
        <f>IF(AND(ISNUMBER(G485),ISNUMBER(I485)),IF(I485&gt;0,ROUND(G485/I485,2),""),"")</f>
        <v/>
      </c>
    </row>
    <row r="486">
      <c r="A486" s="18" t="n"/>
      <c r="G486" s="19" t="n"/>
      <c r="H486" s="20">
        <f>IF(COUNT(E486,G486)&lt;2,"",ROUND(E486*G486,2))</f>
        <v/>
      </c>
      <c r="J486" s="20">
        <f>IF(AND(ISNUMBER(G486),ISNUMBER(I486)),IF(I486&gt;0,ROUND(G486/I486,2),""),"")</f>
        <v/>
      </c>
    </row>
    <row r="487">
      <c r="A487" s="18" t="n"/>
      <c r="G487" s="19" t="n"/>
      <c r="H487" s="20">
        <f>IF(COUNT(E487,G487)&lt;2,"",ROUND(E487*G487,2))</f>
        <v/>
      </c>
      <c r="J487" s="20">
        <f>IF(AND(ISNUMBER(G487),ISNUMBER(I487)),IF(I487&gt;0,ROUND(G487/I487,2),""),"")</f>
        <v/>
      </c>
    </row>
    <row r="488">
      <c r="A488" s="18" t="n"/>
      <c r="G488" s="19" t="n"/>
      <c r="H488" s="20">
        <f>IF(COUNT(E488,G488)&lt;2,"",ROUND(E488*G488,2))</f>
        <v/>
      </c>
      <c r="J488" s="20">
        <f>IF(AND(ISNUMBER(G488),ISNUMBER(I488)),IF(I488&gt;0,ROUND(G488/I488,2),""),"")</f>
        <v/>
      </c>
    </row>
    <row r="489">
      <c r="A489" s="18" t="n"/>
      <c r="G489" s="19" t="n"/>
      <c r="H489" s="20">
        <f>IF(COUNT(E489,G489)&lt;2,"",ROUND(E489*G489,2))</f>
        <v/>
      </c>
      <c r="J489" s="20">
        <f>IF(AND(ISNUMBER(G489),ISNUMBER(I489)),IF(I489&gt;0,ROUND(G489/I489,2),""),"")</f>
        <v/>
      </c>
    </row>
    <row r="490">
      <c r="A490" s="18" t="n"/>
      <c r="G490" s="19" t="n"/>
      <c r="H490" s="20">
        <f>IF(COUNT(E490,G490)&lt;2,"",ROUND(E490*G490,2))</f>
        <v/>
      </c>
      <c r="J490" s="20">
        <f>IF(AND(ISNUMBER(G490),ISNUMBER(I490)),IF(I490&gt;0,ROUND(G490/I490,2),""),"")</f>
        <v/>
      </c>
    </row>
    <row r="491">
      <c r="A491" s="18" t="n"/>
      <c r="G491" s="19" t="n"/>
      <c r="H491" s="20">
        <f>IF(COUNT(E491,G491)&lt;2,"",ROUND(E491*G491,2))</f>
        <v/>
      </c>
      <c r="J491" s="20">
        <f>IF(AND(ISNUMBER(G491),ISNUMBER(I491)),IF(I491&gt;0,ROUND(G491/I491,2),""),"")</f>
        <v/>
      </c>
    </row>
    <row r="492">
      <c r="A492" s="18" t="n"/>
      <c r="G492" s="19" t="n"/>
      <c r="H492" s="20">
        <f>IF(COUNT(E492,G492)&lt;2,"",ROUND(E492*G492,2))</f>
        <v/>
      </c>
      <c r="J492" s="20">
        <f>IF(AND(ISNUMBER(G492),ISNUMBER(I492)),IF(I492&gt;0,ROUND(G492/I492,2),""),"")</f>
        <v/>
      </c>
    </row>
    <row r="493">
      <c r="A493" s="18" t="n"/>
      <c r="G493" s="19" t="n"/>
      <c r="H493" s="20">
        <f>IF(COUNT(E493,G493)&lt;2,"",ROUND(E493*G493,2))</f>
        <v/>
      </c>
      <c r="J493" s="20">
        <f>IF(AND(ISNUMBER(G493),ISNUMBER(I493)),IF(I493&gt;0,ROUND(G493/I493,2),""),"")</f>
        <v/>
      </c>
    </row>
    <row r="494">
      <c r="A494" s="18" t="n"/>
      <c r="G494" s="19" t="n"/>
      <c r="H494" s="20">
        <f>IF(COUNT(E494,G494)&lt;2,"",ROUND(E494*G494,2))</f>
        <v/>
      </c>
      <c r="J494" s="20">
        <f>IF(AND(ISNUMBER(G494),ISNUMBER(I494)),IF(I494&gt;0,ROUND(G494/I494,2),""),"")</f>
        <v/>
      </c>
    </row>
    <row r="495">
      <c r="A495" s="18" t="n"/>
      <c r="G495" s="19" t="n"/>
      <c r="H495" s="20">
        <f>IF(COUNT(E495,G495)&lt;2,"",ROUND(E495*G495,2))</f>
        <v/>
      </c>
      <c r="J495" s="20">
        <f>IF(AND(ISNUMBER(G495),ISNUMBER(I495)),IF(I495&gt;0,ROUND(G495/I495,2),""),"")</f>
        <v/>
      </c>
    </row>
    <row r="496">
      <c r="A496" s="18" t="n"/>
      <c r="G496" s="19" t="n"/>
      <c r="H496" s="20">
        <f>IF(COUNT(E496,G496)&lt;2,"",ROUND(E496*G496,2))</f>
        <v/>
      </c>
      <c r="J496" s="20">
        <f>IF(AND(ISNUMBER(G496),ISNUMBER(I496)),IF(I496&gt;0,ROUND(G496/I496,2),""),"")</f>
        <v/>
      </c>
    </row>
    <row r="497">
      <c r="A497" s="18" t="n"/>
      <c r="G497" s="19" t="n"/>
      <c r="H497" s="20">
        <f>IF(COUNT(E497,G497)&lt;2,"",ROUND(E497*G497,2))</f>
        <v/>
      </c>
      <c r="J497" s="20">
        <f>IF(AND(ISNUMBER(G497),ISNUMBER(I497)),IF(I497&gt;0,ROUND(G497/I497,2),""),"")</f>
        <v/>
      </c>
    </row>
    <row r="498">
      <c r="A498" s="18" t="n"/>
      <c r="G498" s="19" t="n"/>
      <c r="H498" s="20">
        <f>IF(COUNT(E498,G498)&lt;2,"",ROUND(E498*G498,2))</f>
        <v/>
      </c>
      <c r="J498" s="20">
        <f>IF(AND(ISNUMBER(G498),ISNUMBER(I498)),IF(I498&gt;0,ROUND(G498/I498,2),""),"")</f>
        <v/>
      </c>
    </row>
    <row r="499">
      <c r="A499" s="18" t="n"/>
      <c r="G499" s="19" t="n"/>
      <c r="H499" s="20">
        <f>IF(COUNT(E499,G499)&lt;2,"",ROUND(E499*G499,2))</f>
        <v/>
      </c>
      <c r="J499" s="20">
        <f>IF(AND(ISNUMBER(G499),ISNUMBER(I499)),IF(I499&gt;0,ROUND(G499/I499,2),""),"")</f>
        <v/>
      </c>
    </row>
    <row r="500">
      <c r="A500" s="18" t="n"/>
      <c r="G500" s="19" t="n"/>
      <c r="H500" s="20">
        <f>IF(COUNT(E500,G500)&lt;2,"",ROUND(E500*G500,2))</f>
        <v/>
      </c>
      <c r="J500" s="20">
        <f>IF(AND(ISNUMBER(G500),ISNUMBER(I500)),IF(I500&gt;0,ROUND(G500/I500,2),""),"")</f>
        <v/>
      </c>
    </row>
    <row r="501">
      <c r="A501" s="18" t="n"/>
      <c r="G501" s="19" t="n"/>
      <c r="H501" s="20">
        <f>IF(COUNT(E501,G501)&lt;2,"",ROUND(E501*G501,2))</f>
        <v/>
      </c>
      <c r="J501" s="20">
        <f>IF(AND(ISNUMBER(G501),ISNUMBER(I501)),IF(I501&gt;0,ROUND(G501/I501,2),""),"")</f>
        <v/>
      </c>
    </row>
  </sheetData>
  <autoFilter ref="A1:K501"/>
  <dataValidations count="5">
    <dataValidation sqref="A2:A501" showDropDown="0" showInputMessage="0" showErrorMessage="1" allowBlank="1" errorTitle="Date needed" error="Enter a date, e.g. 3/15/2026." type="date" operator="greaterThan">
      <formula1>36526</formula1>
    </dataValidation>
    <dataValidation sqref="D2:D501" showDropDown="0" showInputMessage="0" showErrorMessage="1" allowBlank="1" errorTitle="Pick from the list" error="Pick a value from the list (edit the Lists sheet to change it)." type="list">
      <formula1>=Lists!$D$2:$D$31</formula1>
    </dataValidation>
    <dataValidation sqref="E2:E501" showDropDown="0" showInputMessage="0" showErrorMessage="1" allowBlank="1" errorTitle="Number needed" error="Enter a number of 0 or more." type="decimal" operator="greaterThanOrEqual">
      <formula1>0</formula1>
    </dataValidation>
    <dataValidation sqref="G2:G501" showDropDown="0" showInputMessage="0" showErrorMessage="1" allowBlank="1" errorTitle="Amount needed" error="Enter an amount of 0 or more, without a $ sign." type="decimal" operator="greaterThanOrEqual">
      <formula1>0</formula1>
    </dataValidation>
    <dataValidation sqref="I2:I501" showDropDown="0" showInputMessage="0" showErrorMessage="1" allowBlank="1" errorTitle="Number needed" error="Enter a number of 0 or more."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22" customWidth="1" min="4" max="4"/>
    <col width="22" customWidth="1" min="5" max="5"/>
    <col width="12" customWidth="1" min="6" max="6"/>
    <col width="11" customWidth="1" min="7" max="7"/>
    <col width="13" customWidth="1" min="8" max="8"/>
    <col width="30" customWidth="1" min="9" max="9"/>
  </cols>
  <sheetData>
    <row r="1" ht="30" customHeight="1">
      <c r="A1" s="17" t="inlineStr">
        <is>
          <t>Date</t>
        </is>
      </c>
      <c r="B1" s="17" t="inlineStr">
        <is>
          <t>Business Purpose</t>
        </is>
      </c>
      <c r="C1" s="17" t="inlineStr">
        <is>
          <t>Customer / Job</t>
        </is>
      </c>
      <c r="D1" s="17" t="inlineStr">
        <is>
          <t>From</t>
        </is>
      </c>
      <c r="E1" s="17" t="inlineStr">
        <is>
          <t>To</t>
        </is>
      </c>
      <c r="F1" s="17" t="inlineStr">
        <is>
          <t>Business Miles</t>
        </is>
      </c>
      <c r="G1" s="17" t="inlineStr">
        <is>
          <t>IRS Rate</t>
        </is>
      </c>
      <c r="H1" s="17" t="inlineStr">
        <is>
          <t>Deduction</t>
        </is>
      </c>
      <c r="I1" s="17" t="inlineStr">
        <is>
          <t>Notes</t>
        </is>
      </c>
    </row>
    <row r="2">
      <c r="A2" s="18" t="n"/>
      <c r="F2" s="21" t="n"/>
      <c r="G2" s="22">
        <f>IF(ISNUMBER(A2),IF(A2&lt;MIN('IRS Rates'!$A$2:$A$21),"No rate",VLOOKUP(A2,'IRS Rates'!$A$2:$B$21,2,TRUE)),"")</f>
        <v/>
      </c>
      <c r="H2" s="20">
        <f>IF(AND(ISNUMBER(F2),ISNUMBER(G2)),ROUND(F2*G2,2),"")</f>
        <v/>
      </c>
    </row>
    <row r="3">
      <c r="A3" s="18" t="n"/>
      <c r="F3" s="21" t="n"/>
      <c r="G3" s="22">
        <f>IF(ISNUMBER(A3),IF(A3&lt;MIN('IRS Rates'!$A$2:$A$21),"No rate",VLOOKUP(A3,'IRS Rates'!$A$2:$B$21,2,TRUE)),"")</f>
        <v/>
      </c>
      <c r="H3" s="20">
        <f>IF(AND(ISNUMBER(F3),ISNUMBER(G3)),ROUND(F3*G3,2),"")</f>
        <v/>
      </c>
    </row>
    <row r="4">
      <c r="A4" s="18" t="n"/>
      <c r="F4" s="21" t="n"/>
      <c r="G4" s="22">
        <f>IF(ISNUMBER(A4),IF(A4&lt;MIN('IRS Rates'!$A$2:$A$21),"No rate",VLOOKUP(A4,'IRS Rates'!$A$2:$B$21,2,TRUE)),"")</f>
        <v/>
      </c>
      <c r="H4" s="20">
        <f>IF(AND(ISNUMBER(F4),ISNUMBER(G4)),ROUND(F4*G4,2),"")</f>
        <v/>
      </c>
    </row>
    <row r="5">
      <c r="A5" s="18" t="n"/>
      <c r="F5" s="21" t="n"/>
      <c r="G5" s="22">
        <f>IF(ISNUMBER(A5),IF(A5&lt;MIN('IRS Rates'!$A$2:$A$21),"No rate",VLOOKUP(A5,'IRS Rates'!$A$2:$B$21,2,TRUE)),"")</f>
        <v/>
      </c>
      <c r="H5" s="20">
        <f>IF(AND(ISNUMBER(F5),ISNUMBER(G5)),ROUND(F5*G5,2),"")</f>
        <v/>
      </c>
    </row>
    <row r="6">
      <c r="A6" s="18" t="n"/>
      <c r="F6" s="21" t="n"/>
      <c r="G6" s="22">
        <f>IF(ISNUMBER(A6),IF(A6&lt;MIN('IRS Rates'!$A$2:$A$21),"No rate",VLOOKUP(A6,'IRS Rates'!$A$2:$B$21,2,TRUE)),"")</f>
        <v/>
      </c>
      <c r="H6" s="20">
        <f>IF(AND(ISNUMBER(F6),ISNUMBER(G6)),ROUND(F6*G6,2),"")</f>
        <v/>
      </c>
    </row>
    <row r="7">
      <c r="A7" s="18" t="n"/>
      <c r="F7" s="21" t="n"/>
      <c r="G7" s="22">
        <f>IF(ISNUMBER(A7),IF(A7&lt;MIN('IRS Rates'!$A$2:$A$21),"No rate",VLOOKUP(A7,'IRS Rates'!$A$2:$B$21,2,TRUE)),"")</f>
        <v/>
      </c>
      <c r="H7" s="20">
        <f>IF(AND(ISNUMBER(F7),ISNUMBER(G7)),ROUND(F7*G7,2),"")</f>
        <v/>
      </c>
    </row>
    <row r="8">
      <c r="A8" s="18" t="n"/>
      <c r="F8" s="21" t="n"/>
      <c r="G8" s="22">
        <f>IF(ISNUMBER(A8),IF(A8&lt;MIN('IRS Rates'!$A$2:$A$21),"No rate",VLOOKUP(A8,'IRS Rates'!$A$2:$B$21,2,TRUE)),"")</f>
        <v/>
      </c>
      <c r="H8" s="20">
        <f>IF(AND(ISNUMBER(F8),ISNUMBER(G8)),ROUND(F8*G8,2),"")</f>
        <v/>
      </c>
    </row>
    <row r="9">
      <c r="A9" s="18" t="n"/>
      <c r="F9" s="21" t="n"/>
      <c r="G9" s="22">
        <f>IF(ISNUMBER(A9),IF(A9&lt;MIN('IRS Rates'!$A$2:$A$21),"No rate",VLOOKUP(A9,'IRS Rates'!$A$2:$B$21,2,TRUE)),"")</f>
        <v/>
      </c>
      <c r="H9" s="20">
        <f>IF(AND(ISNUMBER(F9),ISNUMBER(G9)),ROUND(F9*G9,2),"")</f>
        <v/>
      </c>
    </row>
    <row r="10">
      <c r="A10" s="18" t="n"/>
      <c r="F10" s="21" t="n"/>
      <c r="G10" s="22">
        <f>IF(ISNUMBER(A10),IF(A10&lt;MIN('IRS Rates'!$A$2:$A$21),"No rate",VLOOKUP(A10,'IRS Rates'!$A$2:$B$21,2,TRUE)),"")</f>
        <v/>
      </c>
      <c r="H10" s="20">
        <f>IF(AND(ISNUMBER(F10),ISNUMBER(G10)),ROUND(F10*G10,2),"")</f>
        <v/>
      </c>
    </row>
    <row r="11">
      <c r="A11" s="18" t="n"/>
      <c r="F11" s="21" t="n"/>
      <c r="G11" s="22">
        <f>IF(ISNUMBER(A11),IF(A11&lt;MIN('IRS Rates'!$A$2:$A$21),"No rate",VLOOKUP(A11,'IRS Rates'!$A$2:$B$21,2,TRUE)),"")</f>
        <v/>
      </c>
      <c r="H11" s="20">
        <f>IF(AND(ISNUMBER(F11),ISNUMBER(G11)),ROUND(F11*G11,2),"")</f>
        <v/>
      </c>
    </row>
    <row r="12">
      <c r="A12" s="18" t="n"/>
      <c r="F12" s="21" t="n"/>
      <c r="G12" s="22">
        <f>IF(ISNUMBER(A12),IF(A12&lt;MIN('IRS Rates'!$A$2:$A$21),"No rate",VLOOKUP(A12,'IRS Rates'!$A$2:$B$21,2,TRUE)),"")</f>
        <v/>
      </c>
      <c r="H12" s="20">
        <f>IF(AND(ISNUMBER(F12),ISNUMBER(G12)),ROUND(F12*G12,2),"")</f>
        <v/>
      </c>
    </row>
    <row r="13">
      <c r="A13" s="18" t="n"/>
      <c r="F13" s="21" t="n"/>
      <c r="G13" s="22">
        <f>IF(ISNUMBER(A13),IF(A13&lt;MIN('IRS Rates'!$A$2:$A$21),"No rate",VLOOKUP(A13,'IRS Rates'!$A$2:$B$21,2,TRUE)),"")</f>
        <v/>
      </c>
      <c r="H13" s="20">
        <f>IF(AND(ISNUMBER(F13),ISNUMBER(G13)),ROUND(F13*G13,2),"")</f>
        <v/>
      </c>
    </row>
    <row r="14">
      <c r="A14" s="18" t="n"/>
      <c r="F14" s="21" t="n"/>
      <c r="G14" s="22">
        <f>IF(ISNUMBER(A14),IF(A14&lt;MIN('IRS Rates'!$A$2:$A$21),"No rate",VLOOKUP(A14,'IRS Rates'!$A$2:$B$21,2,TRUE)),"")</f>
        <v/>
      </c>
      <c r="H14" s="20">
        <f>IF(AND(ISNUMBER(F14),ISNUMBER(G14)),ROUND(F14*G14,2),"")</f>
        <v/>
      </c>
    </row>
    <row r="15">
      <c r="A15" s="18" t="n"/>
      <c r="F15" s="21" t="n"/>
      <c r="G15" s="22">
        <f>IF(ISNUMBER(A15),IF(A15&lt;MIN('IRS Rates'!$A$2:$A$21),"No rate",VLOOKUP(A15,'IRS Rates'!$A$2:$B$21,2,TRUE)),"")</f>
        <v/>
      </c>
      <c r="H15" s="20">
        <f>IF(AND(ISNUMBER(F15),ISNUMBER(G15)),ROUND(F15*G15,2),"")</f>
        <v/>
      </c>
    </row>
    <row r="16">
      <c r="A16" s="18" t="n"/>
      <c r="F16" s="21" t="n"/>
      <c r="G16" s="22">
        <f>IF(ISNUMBER(A16),IF(A16&lt;MIN('IRS Rates'!$A$2:$A$21),"No rate",VLOOKUP(A16,'IRS Rates'!$A$2:$B$21,2,TRUE)),"")</f>
        <v/>
      </c>
      <c r="H16" s="20">
        <f>IF(AND(ISNUMBER(F16),ISNUMBER(G16)),ROUND(F16*G16,2),"")</f>
        <v/>
      </c>
    </row>
    <row r="17">
      <c r="A17" s="18" t="n"/>
      <c r="F17" s="21" t="n"/>
      <c r="G17" s="22">
        <f>IF(ISNUMBER(A17),IF(A17&lt;MIN('IRS Rates'!$A$2:$A$21),"No rate",VLOOKUP(A17,'IRS Rates'!$A$2:$B$21,2,TRUE)),"")</f>
        <v/>
      </c>
      <c r="H17" s="20">
        <f>IF(AND(ISNUMBER(F17),ISNUMBER(G17)),ROUND(F17*G17,2),"")</f>
        <v/>
      </c>
    </row>
    <row r="18">
      <c r="A18" s="18" t="n"/>
      <c r="F18" s="21" t="n"/>
      <c r="G18" s="22">
        <f>IF(ISNUMBER(A18),IF(A18&lt;MIN('IRS Rates'!$A$2:$A$21),"No rate",VLOOKUP(A18,'IRS Rates'!$A$2:$B$21,2,TRUE)),"")</f>
        <v/>
      </c>
      <c r="H18" s="20">
        <f>IF(AND(ISNUMBER(F18),ISNUMBER(G18)),ROUND(F18*G18,2),"")</f>
        <v/>
      </c>
    </row>
    <row r="19">
      <c r="A19" s="18" t="n"/>
      <c r="F19" s="21" t="n"/>
      <c r="G19" s="22">
        <f>IF(ISNUMBER(A19),IF(A19&lt;MIN('IRS Rates'!$A$2:$A$21),"No rate",VLOOKUP(A19,'IRS Rates'!$A$2:$B$21,2,TRUE)),"")</f>
        <v/>
      </c>
      <c r="H19" s="20">
        <f>IF(AND(ISNUMBER(F19),ISNUMBER(G19)),ROUND(F19*G19,2),"")</f>
        <v/>
      </c>
    </row>
    <row r="20">
      <c r="A20" s="18" t="n"/>
      <c r="F20" s="21" t="n"/>
      <c r="G20" s="22">
        <f>IF(ISNUMBER(A20),IF(A20&lt;MIN('IRS Rates'!$A$2:$A$21),"No rate",VLOOKUP(A20,'IRS Rates'!$A$2:$B$21,2,TRUE)),"")</f>
        <v/>
      </c>
      <c r="H20" s="20">
        <f>IF(AND(ISNUMBER(F20),ISNUMBER(G20)),ROUND(F20*G20,2),"")</f>
        <v/>
      </c>
    </row>
    <row r="21">
      <c r="A21" s="18" t="n"/>
      <c r="F21" s="21" t="n"/>
      <c r="G21" s="22">
        <f>IF(ISNUMBER(A21),IF(A21&lt;MIN('IRS Rates'!$A$2:$A$21),"No rate",VLOOKUP(A21,'IRS Rates'!$A$2:$B$21,2,TRUE)),"")</f>
        <v/>
      </c>
      <c r="H21" s="20">
        <f>IF(AND(ISNUMBER(F21),ISNUMBER(G21)),ROUND(F21*G21,2),"")</f>
        <v/>
      </c>
    </row>
    <row r="22">
      <c r="A22" s="18" t="n"/>
      <c r="F22" s="21" t="n"/>
      <c r="G22" s="22">
        <f>IF(ISNUMBER(A22),IF(A22&lt;MIN('IRS Rates'!$A$2:$A$21),"No rate",VLOOKUP(A22,'IRS Rates'!$A$2:$B$21,2,TRUE)),"")</f>
        <v/>
      </c>
      <c r="H22" s="20">
        <f>IF(AND(ISNUMBER(F22),ISNUMBER(G22)),ROUND(F22*G22,2),"")</f>
        <v/>
      </c>
    </row>
    <row r="23">
      <c r="A23" s="18" t="n"/>
      <c r="F23" s="21" t="n"/>
      <c r="G23" s="22">
        <f>IF(ISNUMBER(A23),IF(A23&lt;MIN('IRS Rates'!$A$2:$A$21),"No rate",VLOOKUP(A23,'IRS Rates'!$A$2:$B$21,2,TRUE)),"")</f>
        <v/>
      </c>
      <c r="H23" s="20">
        <f>IF(AND(ISNUMBER(F23),ISNUMBER(G23)),ROUND(F23*G23,2),"")</f>
        <v/>
      </c>
    </row>
    <row r="24">
      <c r="A24" s="18" t="n"/>
      <c r="F24" s="21" t="n"/>
      <c r="G24" s="22">
        <f>IF(ISNUMBER(A24),IF(A24&lt;MIN('IRS Rates'!$A$2:$A$21),"No rate",VLOOKUP(A24,'IRS Rates'!$A$2:$B$21,2,TRUE)),"")</f>
        <v/>
      </c>
      <c r="H24" s="20">
        <f>IF(AND(ISNUMBER(F24),ISNUMBER(G24)),ROUND(F24*G24,2),"")</f>
        <v/>
      </c>
    </row>
    <row r="25">
      <c r="A25" s="18" t="n"/>
      <c r="F25" s="21" t="n"/>
      <c r="G25" s="22">
        <f>IF(ISNUMBER(A25),IF(A25&lt;MIN('IRS Rates'!$A$2:$A$21),"No rate",VLOOKUP(A25,'IRS Rates'!$A$2:$B$21,2,TRUE)),"")</f>
        <v/>
      </c>
      <c r="H25" s="20">
        <f>IF(AND(ISNUMBER(F25),ISNUMBER(G25)),ROUND(F25*G25,2),"")</f>
        <v/>
      </c>
    </row>
    <row r="26">
      <c r="A26" s="18" t="n"/>
      <c r="F26" s="21" t="n"/>
      <c r="G26" s="22">
        <f>IF(ISNUMBER(A26),IF(A26&lt;MIN('IRS Rates'!$A$2:$A$21),"No rate",VLOOKUP(A26,'IRS Rates'!$A$2:$B$21,2,TRUE)),"")</f>
        <v/>
      </c>
      <c r="H26" s="20">
        <f>IF(AND(ISNUMBER(F26),ISNUMBER(G26)),ROUND(F26*G26,2),"")</f>
        <v/>
      </c>
    </row>
    <row r="27">
      <c r="A27" s="18" t="n"/>
      <c r="F27" s="21" t="n"/>
      <c r="G27" s="22">
        <f>IF(ISNUMBER(A27),IF(A27&lt;MIN('IRS Rates'!$A$2:$A$21),"No rate",VLOOKUP(A27,'IRS Rates'!$A$2:$B$21,2,TRUE)),"")</f>
        <v/>
      </c>
      <c r="H27" s="20">
        <f>IF(AND(ISNUMBER(F27),ISNUMBER(G27)),ROUND(F27*G27,2),"")</f>
        <v/>
      </c>
    </row>
    <row r="28">
      <c r="A28" s="18" t="n"/>
      <c r="F28" s="21" t="n"/>
      <c r="G28" s="22">
        <f>IF(ISNUMBER(A28),IF(A28&lt;MIN('IRS Rates'!$A$2:$A$21),"No rate",VLOOKUP(A28,'IRS Rates'!$A$2:$B$21,2,TRUE)),"")</f>
        <v/>
      </c>
      <c r="H28" s="20">
        <f>IF(AND(ISNUMBER(F28),ISNUMBER(G28)),ROUND(F28*G28,2),"")</f>
        <v/>
      </c>
    </row>
    <row r="29">
      <c r="A29" s="18" t="n"/>
      <c r="F29" s="21" t="n"/>
      <c r="G29" s="22">
        <f>IF(ISNUMBER(A29),IF(A29&lt;MIN('IRS Rates'!$A$2:$A$21),"No rate",VLOOKUP(A29,'IRS Rates'!$A$2:$B$21,2,TRUE)),"")</f>
        <v/>
      </c>
      <c r="H29" s="20">
        <f>IF(AND(ISNUMBER(F29),ISNUMBER(G29)),ROUND(F29*G29,2),"")</f>
        <v/>
      </c>
    </row>
    <row r="30">
      <c r="A30" s="18" t="n"/>
      <c r="F30" s="21" t="n"/>
      <c r="G30" s="22">
        <f>IF(ISNUMBER(A30),IF(A30&lt;MIN('IRS Rates'!$A$2:$A$21),"No rate",VLOOKUP(A30,'IRS Rates'!$A$2:$B$21,2,TRUE)),"")</f>
        <v/>
      </c>
      <c r="H30" s="20">
        <f>IF(AND(ISNUMBER(F30),ISNUMBER(G30)),ROUND(F30*G30,2),"")</f>
        <v/>
      </c>
    </row>
    <row r="31">
      <c r="A31" s="18" t="n"/>
      <c r="F31" s="21" t="n"/>
      <c r="G31" s="22">
        <f>IF(ISNUMBER(A31),IF(A31&lt;MIN('IRS Rates'!$A$2:$A$21),"No rate",VLOOKUP(A31,'IRS Rates'!$A$2:$B$21,2,TRUE)),"")</f>
        <v/>
      </c>
      <c r="H31" s="20">
        <f>IF(AND(ISNUMBER(F31),ISNUMBER(G31)),ROUND(F31*G31,2),"")</f>
        <v/>
      </c>
    </row>
    <row r="32">
      <c r="A32" s="18" t="n"/>
      <c r="F32" s="21" t="n"/>
      <c r="G32" s="22">
        <f>IF(ISNUMBER(A32),IF(A32&lt;MIN('IRS Rates'!$A$2:$A$21),"No rate",VLOOKUP(A32,'IRS Rates'!$A$2:$B$21,2,TRUE)),"")</f>
        <v/>
      </c>
      <c r="H32" s="20">
        <f>IF(AND(ISNUMBER(F32),ISNUMBER(G32)),ROUND(F32*G32,2),"")</f>
        <v/>
      </c>
    </row>
    <row r="33">
      <c r="A33" s="18" t="n"/>
      <c r="F33" s="21" t="n"/>
      <c r="G33" s="22">
        <f>IF(ISNUMBER(A33),IF(A33&lt;MIN('IRS Rates'!$A$2:$A$21),"No rate",VLOOKUP(A33,'IRS Rates'!$A$2:$B$21,2,TRUE)),"")</f>
        <v/>
      </c>
      <c r="H33" s="20">
        <f>IF(AND(ISNUMBER(F33),ISNUMBER(G33)),ROUND(F33*G33,2),"")</f>
        <v/>
      </c>
    </row>
    <row r="34">
      <c r="A34" s="18" t="n"/>
      <c r="F34" s="21" t="n"/>
      <c r="G34" s="22">
        <f>IF(ISNUMBER(A34),IF(A34&lt;MIN('IRS Rates'!$A$2:$A$21),"No rate",VLOOKUP(A34,'IRS Rates'!$A$2:$B$21,2,TRUE)),"")</f>
        <v/>
      </c>
      <c r="H34" s="20">
        <f>IF(AND(ISNUMBER(F34),ISNUMBER(G34)),ROUND(F34*G34,2),"")</f>
        <v/>
      </c>
    </row>
    <row r="35">
      <c r="A35" s="18" t="n"/>
      <c r="F35" s="21" t="n"/>
      <c r="G35" s="22">
        <f>IF(ISNUMBER(A35),IF(A35&lt;MIN('IRS Rates'!$A$2:$A$21),"No rate",VLOOKUP(A35,'IRS Rates'!$A$2:$B$21,2,TRUE)),"")</f>
        <v/>
      </c>
      <c r="H35" s="20">
        <f>IF(AND(ISNUMBER(F35),ISNUMBER(G35)),ROUND(F35*G35,2),"")</f>
        <v/>
      </c>
    </row>
    <row r="36">
      <c r="A36" s="18" t="n"/>
      <c r="F36" s="21" t="n"/>
      <c r="G36" s="22">
        <f>IF(ISNUMBER(A36),IF(A36&lt;MIN('IRS Rates'!$A$2:$A$21),"No rate",VLOOKUP(A36,'IRS Rates'!$A$2:$B$21,2,TRUE)),"")</f>
        <v/>
      </c>
      <c r="H36" s="20">
        <f>IF(AND(ISNUMBER(F36),ISNUMBER(G36)),ROUND(F36*G36,2),"")</f>
        <v/>
      </c>
    </row>
    <row r="37">
      <c r="A37" s="18" t="n"/>
      <c r="F37" s="21" t="n"/>
      <c r="G37" s="22">
        <f>IF(ISNUMBER(A37),IF(A37&lt;MIN('IRS Rates'!$A$2:$A$21),"No rate",VLOOKUP(A37,'IRS Rates'!$A$2:$B$21,2,TRUE)),"")</f>
        <v/>
      </c>
      <c r="H37" s="20">
        <f>IF(AND(ISNUMBER(F37),ISNUMBER(G37)),ROUND(F37*G37,2),"")</f>
        <v/>
      </c>
    </row>
    <row r="38">
      <c r="A38" s="18" t="n"/>
      <c r="F38" s="21" t="n"/>
      <c r="G38" s="22">
        <f>IF(ISNUMBER(A38),IF(A38&lt;MIN('IRS Rates'!$A$2:$A$21),"No rate",VLOOKUP(A38,'IRS Rates'!$A$2:$B$21,2,TRUE)),"")</f>
        <v/>
      </c>
      <c r="H38" s="20">
        <f>IF(AND(ISNUMBER(F38),ISNUMBER(G38)),ROUND(F38*G38,2),"")</f>
        <v/>
      </c>
    </row>
    <row r="39">
      <c r="A39" s="18" t="n"/>
      <c r="F39" s="21" t="n"/>
      <c r="G39" s="22">
        <f>IF(ISNUMBER(A39),IF(A39&lt;MIN('IRS Rates'!$A$2:$A$21),"No rate",VLOOKUP(A39,'IRS Rates'!$A$2:$B$21,2,TRUE)),"")</f>
        <v/>
      </c>
      <c r="H39" s="20">
        <f>IF(AND(ISNUMBER(F39),ISNUMBER(G39)),ROUND(F39*G39,2),"")</f>
        <v/>
      </c>
    </row>
    <row r="40">
      <c r="A40" s="18" t="n"/>
      <c r="F40" s="21" t="n"/>
      <c r="G40" s="22">
        <f>IF(ISNUMBER(A40),IF(A40&lt;MIN('IRS Rates'!$A$2:$A$21),"No rate",VLOOKUP(A40,'IRS Rates'!$A$2:$B$21,2,TRUE)),"")</f>
        <v/>
      </c>
      <c r="H40" s="20">
        <f>IF(AND(ISNUMBER(F40),ISNUMBER(G40)),ROUND(F40*G40,2),"")</f>
        <v/>
      </c>
    </row>
    <row r="41">
      <c r="A41" s="18" t="n"/>
      <c r="F41" s="21" t="n"/>
      <c r="G41" s="22">
        <f>IF(ISNUMBER(A41),IF(A41&lt;MIN('IRS Rates'!$A$2:$A$21),"No rate",VLOOKUP(A41,'IRS Rates'!$A$2:$B$21,2,TRUE)),"")</f>
        <v/>
      </c>
      <c r="H41" s="20">
        <f>IF(AND(ISNUMBER(F41),ISNUMBER(G41)),ROUND(F41*G41,2),"")</f>
        <v/>
      </c>
    </row>
    <row r="42">
      <c r="A42" s="18" t="n"/>
      <c r="F42" s="21" t="n"/>
      <c r="G42" s="22">
        <f>IF(ISNUMBER(A42),IF(A42&lt;MIN('IRS Rates'!$A$2:$A$21),"No rate",VLOOKUP(A42,'IRS Rates'!$A$2:$B$21,2,TRUE)),"")</f>
        <v/>
      </c>
      <c r="H42" s="20">
        <f>IF(AND(ISNUMBER(F42),ISNUMBER(G42)),ROUND(F42*G42,2),"")</f>
        <v/>
      </c>
    </row>
    <row r="43">
      <c r="A43" s="18" t="n"/>
      <c r="F43" s="21" t="n"/>
      <c r="G43" s="22">
        <f>IF(ISNUMBER(A43),IF(A43&lt;MIN('IRS Rates'!$A$2:$A$21),"No rate",VLOOKUP(A43,'IRS Rates'!$A$2:$B$21,2,TRUE)),"")</f>
        <v/>
      </c>
      <c r="H43" s="20">
        <f>IF(AND(ISNUMBER(F43),ISNUMBER(G43)),ROUND(F43*G43,2),"")</f>
        <v/>
      </c>
    </row>
    <row r="44">
      <c r="A44" s="18" t="n"/>
      <c r="F44" s="21" t="n"/>
      <c r="G44" s="22">
        <f>IF(ISNUMBER(A44),IF(A44&lt;MIN('IRS Rates'!$A$2:$A$21),"No rate",VLOOKUP(A44,'IRS Rates'!$A$2:$B$21,2,TRUE)),"")</f>
        <v/>
      </c>
      <c r="H44" s="20">
        <f>IF(AND(ISNUMBER(F44),ISNUMBER(G44)),ROUND(F44*G44,2),"")</f>
        <v/>
      </c>
    </row>
    <row r="45">
      <c r="A45" s="18" t="n"/>
      <c r="F45" s="21" t="n"/>
      <c r="G45" s="22">
        <f>IF(ISNUMBER(A45),IF(A45&lt;MIN('IRS Rates'!$A$2:$A$21),"No rate",VLOOKUP(A45,'IRS Rates'!$A$2:$B$21,2,TRUE)),"")</f>
        <v/>
      </c>
      <c r="H45" s="20">
        <f>IF(AND(ISNUMBER(F45),ISNUMBER(G45)),ROUND(F45*G45,2),"")</f>
        <v/>
      </c>
    </row>
    <row r="46">
      <c r="A46" s="18" t="n"/>
      <c r="F46" s="21" t="n"/>
      <c r="G46" s="22">
        <f>IF(ISNUMBER(A46),IF(A46&lt;MIN('IRS Rates'!$A$2:$A$21),"No rate",VLOOKUP(A46,'IRS Rates'!$A$2:$B$21,2,TRUE)),"")</f>
        <v/>
      </c>
      <c r="H46" s="20">
        <f>IF(AND(ISNUMBER(F46),ISNUMBER(G46)),ROUND(F46*G46,2),"")</f>
        <v/>
      </c>
    </row>
    <row r="47">
      <c r="A47" s="18" t="n"/>
      <c r="F47" s="21" t="n"/>
      <c r="G47" s="22">
        <f>IF(ISNUMBER(A47),IF(A47&lt;MIN('IRS Rates'!$A$2:$A$21),"No rate",VLOOKUP(A47,'IRS Rates'!$A$2:$B$21,2,TRUE)),"")</f>
        <v/>
      </c>
      <c r="H47" s="20">
        <f>IF(AND(ISNUMBER(F47),ISNUMBER(G47)),ROUND(F47*G47,2),"")</f>
        <v/>
      </c>
    </row>
    <row r="48">
      <c r="A48" s="18" t="n"/>
      <c r="F48" s="21" t="n"/>
      <c r="G48" s="22">
        <f>IF(ISNUMBER(A48),IF(A48&lt;MIN('IRS Rates'!$A$2:$A$21),"No rate",VLOOKUP(A48,'IRS Rates'!$A$2:$B$21,2,TRUE)),"")</f>
        <v/>
      </c>
      <c r="H48" s="20">
        <f>IF(AND(ISNUMBER(F48),ISNUMBER(G48)),ROUND(F48*G48,2),"")</f>
        <v/>
      </c>
    </row>
    <row r="49">
      <c r="A49" s="18" t="n"/>
      <c r="F49" s="21" t="n"/>
      <c r="G49" s="22">
        <f>IF(ISNUMBER(A49),IF(A49&lt;MIN('IRS Rates'!$A$2:$A$21),"No rate",VLOOKUP(A49,'IRS Rates'!$A$2:$B$21,2,TRUE)),"")</f>
        <v/>
      </c>
      <c r="H49" s="20">
        <f>IF(AND(ISNUMBER(F49),ISNUMBER(G49)),ROUND(F49*G49,2),"")</f>
        <v/>
      </c>
    </row>
    <row r="50">
      <c r="A50" s="18" t="n"/>
      <c r="F50" s="21" t="n"/>
      <c r="G50" s="22">
        <f>IF(ISNUMBER(A50),IF(A50&lt;MIN('IRS Rates'!$A$2:$A$21),"No rate",VLOOKUP(A50,'IRS Rates'!$A$2:$B$21,2,TRUE)),"")</f>
        <v/>
      </c>
      <c r="H50" s="20">
        <f>IF(AND(ISNUMBER(F50),ISNUMBER(G50)),ROUND(F50*G50,2),"")</f>
        <v/>
      </c>
    </row>
    <row r="51">
      <c r="A51" s="18" t="n"/>
      <c r="F51" s="21" t="n"/>
      <c r="G51" s="22">
        <f>IF(ISNUMBER(A51),IF(A51&lt;MIN('IRS Rates'!$A$2:$A$21),"No rate",VLOOKUP(A51,'IRS Rates'!$A$2:$B$21,2,TRUE)),"")</f>
        <v/>
      </c>
      <c r="H51" s="20">
        <f>IF(AND(ISNUMBER(F51),ISNUMBER(G51)),ROUND(F51*G51,2),"")</f>
        <v/>
      </c>
    </row>
    <row r="52">
      <c r="A52" s="18" t="n"/>
      <c r="F52" s="21" t="n"/>
      <c r="G52" s="22">
        <f>IF(ISNUMBER(A52),IF(A52&lt;MIN('IRS Rates'!$A$2:$A$21),"No rate",VLOOKUP(A52,'IRS Rates'!$A$2:$B$21,2,TRUE)),"")</f>
        <v/>
      </c>
      <c r="H52" s="20">
        <f>IF(AND(ISNUMBER(F52),ISNUMBER(G52)),ROUND(F52*G52,2),"")</f>
        <v/>
      </c>
    </row>
    <row r="53">
      <c r="A53" s="18" t="n"/>
      <c r="F53" s="21" t="n"/>
      <c r="G53" s="22">
        <f>IF(ISNUMBER(A53),IF(A53&lt;MIN('IRS Rates'!$A$2:$A$21),"No rate",VLOOKUP(A53,'IRS Rates'!$A$2:$B$21,2,TRUE)),"")</f>
        <v/>
      </c>
      <c r="H53" s="20">
        <f>IF(AND(ISNUMBER(F53),ISNUMBER(G53)),ROUND(F53*G53,2),"")</f>
        <v/>
      </c>
    </row>
    <row r="54">
      <c r="A54" s="18" t="n"/>
      <c r="F54" s="21" t="n"/>
      <c r="G54" s="22">
        <f>IF(ISNUMBER(A54),IF(A54&lt;MIN('IRS Rates'!$A$2:$A$21),"No rate",VLOOKUP(A54,'IRS Rates'!$A$2:$B$21,2,TRUE)),"")</f>
        <v/>
      </c>
      <c r="H54" s="20">
        <f>IF(AND(ISNUMBER(F54),ISNUMBER(G54)),ROUND(F54*G54,2),"")</f>
        <v/>
      </c>
    </row>
    <row r="55">
      <c r="A55" s="18" t="n"/>
      <c r="F55" s="21" t="n"/>
      <c r="G55" s="22">
        <f>IF(ISNUMBER(A55),IF(A55&lt;MIN('IRS Rates'!$A$2:$A$21),"No rate",VLOOKUP(A55,'IRS Rates'!$A$2:$B$21,2,TRUE)),"")</f>
        <v/>
      </c>
      <c r="H55" s="20">
        <f>IF(AND(ISNUMBER(F55),ISNUMBER(G55)),ROUND(F55*G55,2),"")</f>
        <v/>
      </c>
    </row>
    <row r="56">
      <c r="A56" s="18" t="n"/>
      <c r="F56" s="21" t="n"/>
      <c r="G56" s="22">
        <f>IF(ISNUMBER(A56),IF(A56&lt;MIN('IRS Rates'!$A$2:$A$21),"No rate",VLOOKUP(A56,'IRS Rates'!$A$2:$B$21,2,TRUE)),"")</f>
        <v/>
      </c>
      <c r="H56" s="20">
        <f>IF(AND(ISNUMBER(F56),ISNUMBER(G56)),ROUND(F56*G56,2),"")</f>
        <v/>
      </c>
    </row>
    <row r="57">
      <c r="A57" s="18" t="n"/>
      <c r="F57" s="21" t="n"/>
      <c r="G57" s="22">
        <f>IF(ISNUMBER(A57),IF(A57&lt;MIN('IRS Rates'!$A$2:$A$21),"No rate",VLOOKUP(A57,'IRS Rates'!$A$2:$B$21,2,TRUE)),"")</f>
        <v/>
      </c>
      <c r="H57" s="20">
        <f>IF(AND(ISNUMBER(F57),ISNUMBER(G57)),ROUND(F57*G57,2),"")</f>
        <v/>
      </c>
    </row>
    <row r="58">
      <c r="A58" s="18" t="n"/>
      <c r="F58" s="21" t="n"/>
      <c r="G58" s="22">
        <f>IF(ISNUMBER(A58),IF(A58&lt;MIN('IRS Rates'!$A$2:$A$21),"No rate",VLOOKUP(A58,'IRS Rates'!$A$2:$B$21,2,TRUE)),"")</f>
        <v/>
      </c>
      <c r="H58" s="20">
        <f>IF(AND(ISNUMBER(F58),ISNUMBER(G58)),ROUND(F58*G58,2),"")</f>
        <v/>
      </c>
    </row>
    <row r="59">
      <c r="A59" s="18" t="n"/>
      <c r="F59" s="21" t="n"/>
      <c r="G59" s="22">
        <f>IF(ISNUMBER(A59),IF(A59&lt;MIN('IRS Rates'!$A$2:$A$21),"No rate",VLOOKUP(A59,'IRS Rates'!$A$2:$B$21,2,TRUE)),"")</f>
        <v/>
      </c>
      <c r="H59" s="20">
        <f>IF(AND(ISNUMBER(F59),ISNUMBER(G59)),ROUND(F59*G59,2),"")</f>
        <v/>
      </c>
    </row>
    <row r="60">
      <c r="A60" s="18" t="n"/>
      <c r="F60" s="21" t="n"/>
      <c r="G60" s="22">
        <f>IF(ISNUMBER(A60),IF(A60&lt;MIN('IRS Rates'!$A$2:$A$21),"No rate",VLOOKUP(A60,'IRS Rates'!$A$2:$B$21,2,TRUE)),"")</f>
        <v/>
      </c>
      <c r="H60" s="20">
        <f>IF(AND(ISNUMBER(F60),ISNUMBER(G60)),ROUND(F60*G60,2),"")</f>
        <v/>
      </c>
    </row>
    <row r="61">
      <c r="A61" s="18" t="n"/>
      <c r="F61" s="21" t="n"/>
      <c r="G61" s="22">
        <f>IF(ISNUMBER(A61),IF(A61&lt;MIN('IRS Rates'!$A$2:$A$21),"No rate",VLOOKUP(A61,'IRS Rates'!$A$2:$B$21,2,TRUE)),"")</f>
        <v/>
      </c>
      <c r="H61" s="20">
        <f>IF(AND(ISNUMBER(F61),ISNUMBER(G61)),ROUND(F61*G61,2),"")</f>
        <v/>
      </c>
    </row>
    <row r="62">
      <c r="A62" s="18" t="n"/>
      <c r="F62" s="21" t="n"/>
      <c r="G62" s="22">
        <f>IF(ISNUMBER(A62),IF(A62&lt;MIN('IRS Rates'!$A$2:$A$21),"No rate",VLOOKUP(A62,'IRS Rates'!$A$2:$B$21,2,TRUE)),"")</f>
        <v/>
      </c>
      <c r="H62" s="20">
        <f>IF(AND(ISNUMBER(F62),ISNUMBER(G62)),ROUND(F62*G62,2),"")</f>
        <v/>
      </c>
    </row>
    <row r="63">
      <c r="A63" s="18" t="n"/>
      <c r="F63" s="21" t="n"/>
      <c r="G63" s="22">
        <f>IF(ISNUMBER(A63),IF(A63&lt;MIN('IRS Rates'!$A$2:$A$21),"No rate",VLOOKUP(A63,'IRS Rates'!$A$2:$B$21,2,TRUE)),"")</f>
        <v/>
      </c>
      <c r="H63" s="20">
        <f>IF(AND(ISNUMBER(F63),ISNUMBER(G63)),ROUND(F63*G63,2),"")</f>
        <v/>
      </c>
    </row>
    <row r="64">
      <c r="A64" s="18" t="n"/>
      <c r="F64" s="21" t="n"/>
      <c r="G64" s="22">
        <f>IF(ISNUMBER(A64),IF(A64&lt;MIN('IRS Rates'!$A$2:$A$21),"No rate",VLOOKUP(A64,'IRS Rates'!$A$2:$B$21,2,TRUE)),"")</f>
        <v/>
      </c>
      <c r="H64" s="20">
        <f>IF(AND(ISNUMBER(F64),ISNUMBER(G64)),ROUND(F64*G64,2),"")</f>
        <v/>
      </c>
    </row>
    <row r="65">
      <c r="A65" s="18" t="n"/>
      <c r="F65" s="21" t="n"/>
      <c r="G65" s="22">
        <f>IF(ISNUMBER(A65),IF(A65&lt;MIN('IRS Rates'!$A$2:$A$21),"No rate",VLOOKUP(A65,'IRS Rates'!$A$2:$B$21,2,TRUE)),"")</f>
        <v/>
      </c>
      <c r="H65" s="20">
        <f>IF(AND(ISNUMBER(F65),ISNUMBER(G65)),ROUND(F65*G65,2),"")</f>
        <v/>
      </c>
    </row>
    <row r="66">
      <c r="A66" s="18" t="n"/>
      <c r="F66" s="21" t="n"/>
      <c r="G66" s="22">
        <f>IF(ISNUMBER(A66),IF(A66&lt;MIN('IRS Rates'!$A$2:$A$21),"No rate",VLOOKUP(A66,'IRS Rates'!$A$2:$B$21,2,TRUE)),"")</f>
        <v/>
      </c>
      <c r="H66" s="20">
        <f>IF(AND(ISNUMBER(F66),ISNUMBER(G66)),ROUND(F66*G66,2),"")</f>
        <v/>
      </c>
    </row>
    <row r="67">
      <c r="A67" s="18" t="n"/>
      <c r="F67" s="21" t="n"/>
      <c r="G67" s="22">
        <f>IF(ISNUMBER(A67),IF(A67&lt;MIN('IRS Rates'!$A$2:$A$21),"No rate",VLOOKUP(A67,'IRS Rates'!$A$2:$B$21,2,TRUE)),"")</f>
        <v/>
      </c>
      <c r="H67" s="20">
        <f>IF(AND(ISNUMBER(F67),ISNUMBER(G67)),ROUND(F67*G67,2),"")</f>
        <v/>
      </c>
    </row>
    <row r="68">
      <c r="A68" s="18" t="n"/>
      <c r="F68" s="21" t="n"/>
      <c r="G68" s="22">
        <f>IF(ISNUMBER(A68),IF(A68&lt;MIN('IRS Rates'!$A$2:$A$21),"No rate",VLOOKUP(A68,'IRS Rates'!$A$2:$B$21,2,TRUE)),"")</f>
        <v/>
      </c>
      <c r="H68" s="20">
        <f>IF(AND(ISNUMBER(F68),ISNUMBER(G68)),ROUND(F68*G68,2),"")</f>
        <v/>
      </c>
    </row>
    <row r="69">
      <c r="A69" s="18" t="n"/>
      <c r="F69" s="21" t="n"/>
      <c r="G69" s="22">
        <f>IF(ISNUMBER(A69),IF(A69&lt;MIN('IRS Rates'!$A$2:$A$21),"No rate",VLOOKUP(A69,'IRS Rates'!$A$2:$B$21,2,TRUE)),"")</f>
        <v/>
      </c>
      <c r="H69" s="20">
        <f>IF(AND(ISNUMBER(F69),ISNUMBER(G69)),ROUND(F69*G69,2),"")</f>
        <v/>
      </c>
    </row>
    <row r="70">
      <c r="A70" s="18" t="n"/>
      <c r="F70" s="21" t="n"/>
      <c r="G70" s="22">
        <f>IF(ISNUMBER(A70),IF(A70&lt;MIN('IRS Rates'!$A$2:$A$21),"No rate",VLOOKUP(A70,'IRS Rates'!$A$2:$B$21,2,TRUE)),"")</f>
        <v/>
      </c>
      <c r="H70" s="20">
        <f>IF(AND(ISNUMBER(F70),ISNUMBER(G70)),ROUND(F70*G70,2),"")</f>
        <v/>
      </c>
    </row>
    <row r="71">
      <c r="A71" s="18" t="n"/>
      <c r="F71" s="21" t="n"/>
      <c r="G71" s="22">
        <f>IF(ISNUMBER(A71),IF(A71&lt;MIN('IRS Rates'!$A$2:$A$21),"No rate",VLOOKUP(A71,'IRS Rates'!$A$2:$B$21,2,TRUE)),"")</f>
        <v/>
      </c>
      <c r="H71" s="20">
        <f>IF(AND(ISNUMBER(F71),ISNUMBER(G71)),ROUND(F71*G71,2),"")</f>
        <v/>
      </c>
    </row>
    <row r="72">
      <c r="A72" s="18" t="n"/>
      <c r="F72" s="21" t="n"/>
      <c r="G72" s="22">
        <f>IF(ISNUMBER(A72),IF(A72&lt;MIN('IRS Rates'!$A$2:$A$21),"No rate",VLOOKUP(A72,'IRS Rates'!$A$2:$B$21,2,TRUE)),"")</f>
        <v/>
      </c>
      <c r="H72" s="20">
        <f>IF(AND(ISNUMBER(F72),ISNUMBER(G72)),ROUND(F72*G72,2),"")</f>
        <v/>
      </c>
    </row>
    <row r="73">
      <c r="A73" s="18" t="n"/>
      <c r="F73" s="21" t="n"/>
      <c r="G73" s="22">
        <f>IF(ISNUMBER(A73),IF(A73&lt;MIN('IRS Rates'!$A$2:$A$21),"No rate",VLOOKUP(A73,'IRS Rates'!$A$2:$B$21,2,TRUE)),"")</f>
        <v/>
      </c>
      <c r="H73" s="20">
        <f>IF(AND(ISNUMBER(F73),ISNUMBER(G73)),ROUND(F73*G73,2),"")</f>
        <v/>
      </c>
    </row>
    <row r="74">
      <c r="A74" s="18" t="n"/>
      <c r="F74" s="21" t="n"/>
      <c r="G74" s="22">
        <f>IF(ISNUMBER(A74),IF(A74&lt;MIN('IRS Rates'!$A$2:$A$21),"No rate",VLOOKUP(A74,'IRS Rates'!$A$2:$B$21,2,TRUE)),"")</f>
        <v/>
      </c>
      <c r="H74" s="20">
        <f>IF(AND(ISNUMBER(F74),ISNUMBER(G74)),ROUND(F74*G74,2),"")</f>
        <v/>
      </c>
    </row>
    <row r="75">
      <c r="A75" s="18" t="n"/>
      <c r="F75" s="21" t="n"/>
      <c r="G75" s="22">
        <f>IF(ISNUMBER(A75),IF(A75&lt;MIN('IRS Rates'!$A$2:$A$21),"No rate",VLOOKUP(A75,'IRS Rates'!$A$2:$B$21,2,TRUE)),"")</f>
        <v/>
      </c>
      <c r="H75" s="20">
        <f>IF(AND(ISNUMBER(F75),ISNUMBER(G75)),ROUND(F75*G75,2),"")</f>
        <v/>
      </c>
    </row>
    <row r="76">
      <c r="A76" s="18" t="n"/>
      <c r="F76" s="21" t="n"/>
      <c r="G76" s="22">
        <f>IF(ISNUMBER(A76),IF(A76&lt;MIN('IRS Rates'!$A$2:$A$21),"No rate",VLOOKUP(A76,'IRS Rates'!$A$2:$B$21,2,TRUE)),"")</f>
        <v/>
      </c>
      <c r="H76" s="20">
        <f>IF(AND(ISNUMBER(F76),ISNUMBER(G76)),ROUND(F76*G76,2),"")</f>
        <v/>
      </c>
    </row>
    <row r="77">
      <c r="A77" s="18" t="n"/>
      <c r="F77" s="21" t="n"/>
      <c r="G77" s="22">
        <f>IF(ISNUMBER(A77),IF(A77&lt;MIN('IRS Rates'!$A$2:$A$21),"No rate",VLOOKUP(A77,'IRS Rates'!$A$2:$B$21,2,TRUE)),"")</f>
        <v/>
      </c>
      <c r="H77" s="20">
        <f>IF(AND(ISNUMBER(F77),ISNUMBER(G77)),ROUND(F77*G77,2),"")</f>
        <v/>
      </c>
    </row>
    <row r="78">
      <c r="A78" s="18" t="n"/>
      <c r="F78" s="21" t="n"/>
      <c r="G78" s="22">
        <f>IF(ISNUMBER(A78),IF(A78&lt;MIN('IRS Rates'!$A$2:$A$21),"No rate",VLOOKUP(A78,'IRS Rates'!$A$2:$B$21,2,TRUE)),"")</f>
        <v/>
      </c>
      <c r="H78" s="20">
        <f>IF(AND(ISNUMBER(F78),ISNUMBER(G78)),ROUND(F78*G78,2),"")</f>
        <v/>
      </c>
    </row>
    <row r="79">
      <c r="A79" s="18" t="n"/>
      <c r="F79" s="21" t="n"/>
      <c r="G79" s="22">
        <f>IF(ISNUMBER(A79),IF(A79&lt;MIN('IRS Rates'!$A$2:$A$21),"No rate",VLOOKUP(A79,'IRS Rates'!$A$2:$B$21,2,TRUE)),"")</f>
        <v/>
      </c>
      <c r="H79" s="20">
        <f>IF(AND(ISNUMBER(F79),ISNUMBER(G79)),ROUND(F79*G79,2),"")</f>
        <v/>
      </c>
    </row>
    <row r="80">
      <c r="A80" s="18" t="n"/>
      <c r="F80" s="21" t="n"/>
      <c r="G80" s="22">
        <f>IF(ISNUMBER(A80),IF(A80&lt;MIN('IRS Rates'!$A$2:$A$21),"No rate",VLOOKUP(A80,'IRS Rates'!$A$2:$B$21,2,TRUE)),"")</f>
        <v/>
      </c>
      <c r="H80" s="20">
        <f>IF(AND(ISNUMBER(F80),ISNUMBER(G80)),ROUND(F80*G80,2),"")</f>
        <v/>
      </c>
    </row>
    <row r="81">
      <c r="A81" s="18" t="n"/>
      <c r="F81" s="21" t="n"/>
      <c r="G81" s="22">
        <f>IF(ISNUMBER(A81),IF(A81&lt;MIN('IRS Rates'!$A$2:$A$21),"No rate",VLOOKUP(A81,'IRS Rates'!$A$2:$B$21,2,TRUE)),"")</f>
        <v/>
      </c>
      <c r="H81" s="20">
        <f>IF(AND(ISNUMBER(F81),ISNUMBER(G81)),ROUND(F81*G81,2),"")</f>
        <v/>
      </c>
    </row>
    <row r="82">
      <c r="A82" s="18" t="n"/>
      <c r="F82" s="21" t="n"/>
      <c r="G82" s="22">
        <f>IF(ISNUMBER(A82),IF(A82&lt;MIN('IRS Rates'!$A$2:$A$21),"No rate",VLOOKUP(A82,'IRS Rates'!$A$2:$B$21,2,TRUE)),"")</f>
        <v/>
      </c>
      <c r="H82" s="20">
        <f>IF(AND(ISNUMBER(F82),ISNUMBER(G82)),ROUND(F82*G82,2),"")</f>
        <v/>
      </c>
    </row>
    <row r="83">
      <c r="A83" s="18" t="n"/>
      <c r="F83" s="21" t="n"/>
      <c r="G83" s="22">
        <f>IF(ISNUMBER(A83),IF(A83&lt;MIN('IRS Rates'!$A$2:$A$21),"No rate",VLOOKUP(A83,'IRS Rates'!$A$2:$B$21,2,TRUE)),"")</f>
        <v/>
      </c>
      <c r="H83" s="20">
        <f>IF(AND(ISNUMBER(F83),ISNUMBER(G83)),ROUND(F83*G83,2),"")</f>
        <v/>
      </c>
    </row>
    <row r="84">
      <c r="A84" s="18" t="n"/>
      <c r="F84" s="21" t="n"/>
      <c r="G84" s="22">
        <f>IF(ISNUMBER(A84),IF(A84&lt;MIN('IRS Rates'!$A$2:$A$21),"No rate",VLOOKUP(A84,'IRS Rates'!$A$2:$B$21,2,TRUE)),"")</f>
        <v/>
      </c>
      <c r="H84" s="20">
        <f>IF(AND(ISNUMBER(F84),ISNUMBER(G84)),ROUND(F84*G84,2),"")</f>
        <v/>
      </c>
    </row>
    <row r="85">
      <c r="A85" s="18" t="n"/>
      <c r="F85" s="21" t="n"/>
      <c r="G85" s="22">
        <f>IF(ISNUMBER(A85),IF(A85&lt;MIN('IRS Rates'!$A$2:$A$21),"No rate",VLOOKUP(A85,'IRS Rates'!$A$2:$B$21,2,TRUE)),"")</f>
        <v/>
      </c>
      <c r="H85" s="20">
        <f>IF(AND(ISNUMBER(F85),ISNUMBER(G85)),ROUND(F85*G85,2),"")</f>
        <v/>
      </c>
    </row>
    <row r="86">
      <c r="A86" s="18" t="n"/>
      <c r="F86" s="21" t="n"/>
      <c r="G86" s="22">
        <f>IF(ISNUMBER(A86),IF(A86&lt;MIN('IRS Rates'!$A$2:$A$21),"No rate",VLOOKUP(A86,'IRS Rates'!$A$2:$B$21,2,TRUE)),"")</f>
        <v/>
      </c>
      <c r="H86" s="20">
        <f>IF(AND(ISNUMBER(F86),ISNUMBER(G86)),ROUND(F86*G86,2),"")</f>
        <v/>
      </c>
    </row>
    <row r="87">
      <c r="A87" s="18" t="n"/>
      <c r="F87" s="21" t="n"/>
      <c r="G87" s="22">
        <f>IF(ISNUMBER(A87),IF(A87&lt;MIN('IRS Rates'!$A$2:$A$21),"No rate",VLOOKUP(A87,'IRS Rates'!$A$2:$B$21,2,TRUE)),"")</f>
        <v/>
      </c>
      <c r="H87" s="20">
        <f>IF(AND(ISNUMBER(F87),ISNUMBER(G87)),ROUND(F87*G87,2),"")</f>
        <v/>
      </c>
    </row>
    <row r="88">
      <c r="A88" s="18" t="n"/>
      <c r="F88" s="21" t="n"/>
      <c r="G88" s="22">
        <f>IF(ISNUMBER(A88),IF(A88&lt;MIN('IRS Rates'!$A$2:$A$21),"No rate",VLOOKUP(A88,'IRS Rates'!$A$2:$B$21,2,TRUE)),"")</f>
        <v/>
      </c>
      <c r="H88" s="20">
        <f>IF(AND(ISNUMBER(F88),ISNUMBER(G88)),ROUND(F88*G88,2),"")</f>
        <v/>
      </c>
    </row>
    <row r="89">
      <c r="A89" s="18" t="n"/>
      <c r="F89" s="21" t="n"/>
      <c r="G89" s="22">
        <f>IF(ISNUMBER(A89),IF(A89&lt;MIN('IRS Rates'!$A$2:$A$21),"No rate",VLOOKUP(A89,'IRS Rates'!$A$2:$B$21,2,TRUE)),"")</f>
        <v/>
      </c>
      <c r="H89" s="20">
        <f>IF(AND(ISNUMBER(F89),ISNUMBER(G89)),ROUND(F89*G89,2),"")</f>
        <v/>
      </c>
    </row>
    <row r="90">
      <c r="A90" s="18" t="n"/>
      <c r="F90" s="21" t="n"/>
      <c r="G90" s="22">
        <f>IF(ISNUMBER(A90),IF(A90&lt;MIN('IRS Rates'!$A$2:$A$21),"No rate",VLOOKUP(A90,'IRS Rates'!$A$2:$B$21,2,TRUE)),"")</f>
        <v/>
      </c>
      <c r="H90" s="20">
        <f>IF(AND(ISNUMBER(F90),ISNUMBER(G90)),ROUND(F90*G90,2),"")</f>
        <v/>
      </c>
    </row>
    <row r="91">
      <c r="A91" s="18" t="n"/>
      <c r="F91" s="21" t="n"/>
      <c r="G91" s="22">
        <f>IF(ISNUMBER(A91),IF(A91&lt;MIN('IRS Rates'!$A$2:$A$21),"No rate",VLOOKUP(A91,'IRS Rates'!$A$2:$B$21,2,TRUE)),"")</f>
        <v/>
      </c>
      <c r="H91" s="20">
        <f>IF(AND(ISNUMBER(F91),ISNUMBER(G91)),ROUND(F91*G91,2),"")</f>
        <v/>
      </c>
    </row>
    <row r="92">
      <c r="A92" s="18" t="n"/>
      <c r="F92" s="21" t="n"/>
      <c r="G92" s="22">
        <f>IF(ISNUMBER(A92),IF(A92&lt;MIN('IRS Rates'!$A$2:$A$21),"No rate",VLOOKUP(A92,'IRS Rates'!$A$2:$B$21,2,TRUE)),"")</f>
        <v/>
      </c>
      <c r="H92" s="20">
        <f>IF(AND(ISNUMBER(F92),ISNUMBER(G92)),ROUND(F92*G92,2),"")</f>
        <v/>
      </c>
    </row>
    <row r="93">
      <c r="A93" s="18" t="n"/>
      <c r="F93" s="21" t="n"/>
      <c r="G93" s="22">
        <f>IF(ISNUMBER(A93),IF(A93&lt;MIN('IRS Rates'!$A$2:$A$21),"No rate",VLOOKUP(A93,'IRS Rates'!$A$2:$B$21,2,TRUE)),"")</f>
        <v/>
      </c>
      <c r="H93" s="20">
        <f>IF(AND(ISNUMBER(F93),ISNUMBER(G93)),ROUND(F93*G93,2),"")</f>
        <v/>
      </c>
    </row>
    <row r="94">
      <c r="A94" s="18" t="n"/>
      <c r="F94" s="21" t="n"/>
      <c r="G94" s="22">
        <f>IF(ISNUMBER(A94),IF(A94&lt;MIN('IRS Rates'!$A$2:$A$21),"No rate",VLOOKUP(A94,'IRS Rates'!$A$2:$B$21,2,TRUE)),"")</f>
        <v/>
      </c>
      <c r="H94" s="20">
        <f>IF(AND(ISNUMBER(F94),ISNUMBER(G94)),ROUND(F94*G94,2),"")</f>
        <v/>
      </c>
    </row>
    <row r="95">
      <c r="A95" s="18" t="n"/>
      <c r="F95" s="21" t="n"/>
      <c r="G95" s="22">
        <f>IF(ISNUMBER(A95),IF(A95&lt;MIN('IRS Rates'!$A$2:$A$21),"No rate",VLOOKUP(A95,'IRS Rates'!$A$2:$B$21,2,TRUE)),"")</f>
        <v/>
      </c>
      <c r="H95" s="20">
        <f>IF(AND(ISNUMBER(F95),ISNUMBER(G95)),ROUND(F95*G95,2),"")</f>
        <v/>
      </c>
    </row>
    <row r="96">
      <c r="A96" s="18" t="n"/>
      <c r="F96" s="21" t="n"/>
      <c r="G96" s="22">
        <f>IF(ISNUMBER(A96),IF(A96&lt;MIN('IRS Rates'!$A$2:$A$21),"No rate",VLOOKUP(A96,'IRS Rates'!$A$2:$B$21,2,TRUE)),"")</f>
        <v/>
      </c>
      <c r="H96" s="20">
        <f>IF(AND(ISNUMBER(F96),ISNUMBER(G96)),ROUND(F96*G96,2),"")</f>
        <v/>
      </c>
    </row>
    <row r="97">
      <c r="A97" s="18" t="n"/>
      <c r="F97" s="21" t="n"/>
      <c r="G97" s="22">
        <f>IF(ISNUMBER(A97),IF(A97&lt;MIN('IRS Rates'!$A$2:$A$21),"No rate",VLOOKUP(A97,'IRS Rates'!$A$2:$B$21,2,TRUE)),"")</f>
        <v/>
      </c>
      <c r="H97" s="20">
        <f>IF(AND(ISNUMBER(F97),ISNUMBER(G97)),ROUND(F97*G97,2),"")</f>
        <v/>
      </c>
    </row>
    <row r="98">
      <c r="A98" s="18" t="n"/>
      <c r="F98" s="21" t="n"/>
      <c r="G98" s="22">
        <f>IF(ISNUMBER(A98),IF(A98&lt;MIN('IRS Rates'!$A$2:$A$21),"No rate",VLOOKUP(A98,'IRS Rates'!$A$2:$B$21,2,TRUE)),"")</f>
        <v/>
      </c>
      <c r="H98" s="20">
        <f>IF(AND(ISNUMBER(F98),ISNUMBER(G98)),ROUND(F98*G98,2),"")</f>
        <v/>
      </c>
    </row>
    <row r="99">
      <c r="A99" s="18" t="n"/>
      <c r="F99" s="21" t="n"/>
      <c r="G99" s="22">
        <f>IF(ISNUMBER(A99),IF(A99&lt;MIN('IRS Rates'!$A$2:$A$21),"No rate",VLOOKUP(A99,'IRS Rates'!$A$2:$B$21,2,TRUE)),"")</f>
        <v/>
      </c>
      <c r="H99" s="20">
        <f>IF(AND(ISNUMBER(F99),ISNUMBER(G99)),ROUND(F99*G99,2),"")</f>
        <v/>
      </c>
    </row>
    <row r="100">
      <c r="A100" s="18" t="n"/>
      <c r="F100" s="21" t="n"/>
      <c r="G100" s="22">
        <f>IF(ISNUMBER(A100),IF(A100&lt;MIN('IRS Rates'!$A$2:$A$21),"No rate",VLOOKUP(A100,'IRS Rates'!$A$2:$B$21,2,TRUE)),"")</f>
        <v/>
      </c>
      <c r="H100" s="20">
        <f>IF(AND(ISNUMBER(F100),ISNUMBER(G100)),ROUND(F100*G100,2),"")</f>
        <v/>
      </c>
    </row>
    <row r="101">
      <c r="A101" s="18" t="n"/>
      <c r="F101" s="21" t="n"/>
      <c r="G101" s="22">
        <f>IF(ISNUMBER(A101),IF(A101&lt;MIN('IRS Rates'!$A$2:$A$21),"No rate",VLOOKUP(A101,'IRS Rates'!$A$2:$B$21,2,TRUE)),"")</f>
        <v/>
      </c>
      <c r="H101" s="20">
        <f>IF(AND(ISNUMBER(F101),ISNUMBER(G101)),ROUND(F101*G101,2),"")</f>
        <v/>
      </c>
    </row>
    <row r="102">
      <c r="A102" s="18" t="n"/>
      <c r="F102" s="21" t="n"/>
      <c r="G102" s="22">
        <f>IF(ISNUMBER(A102),IF(A102&lt;MIN('IRS Rates'!$A$2:$A$21),"No rate",VLOOKUP(A102,'IRS Rates'!$A$2:$B$21,2,TRUE)),"")</f>
        <v/>
      </c>
      <c r="H102" s="20">
        <f>IF(AND(ISNUMBER(F102),ISNUMBER(G102)),ROUND(F102*G102,2),"")</f>
        <v/>
      </c>
    </row>
    <row r="103">
      <c r="A103" s="18" t="n"/>
      <c r="F103" s="21" t="n"/>
      <c r="G103" s="22">
        <f>IF(ISNUMBER(A103),IF(A103&lt;MIN('IRS Rates'!$A$2:$A$21),"No rate",VLOOKUP(A103,'IRS Rates'!$A$2:$B$21,2,TRUE)),"")</f>
        <v/>
      </c>
      <c r="H103" s="20">
        <f>IF(AND(ISNUMBER(F103),ISNUMBER(G103)),ROUND(F103*G103,2),"")</f>
        <v/>
      </c>
    </row>
    <row r="104">
      <c r="A104" s="18" t="n"/>
      <c r="F104" s="21" t="n"/>
      <c r="G104" s="22">
        <f>IF(ISNUMBER(A104),IF(A104&lt;MIN('IRS Rates'!$A$2:$A$21),"No rate",VLOOKUP(A104,'IRS Rates'!$A$2:$B$21,2,TRUE)),"")</f>
        <v/>
      </c>
      <c r="H104" s="20">
        <f>IF(AND(ISNUMBER(F104),ISNUMBER(G104)),ROUND(F104*G104,2),"")</f>
        <v/>
      </c>
    </row>
    <row r="105">
      <c r="A105" s="18" t="n"/>
      <c r="F105" s="21" t="n"/>
      <c r="G105" s="22">
        <f>IF(ISNUMBER(A105),IF(A105&lt;MIN('IRS Rates'!$A$2:$A$21),"No rate",VLOOKUP(A105,'IRS Rates'!$A$2:$B$21,2,TRUE)),"")</f>
        <v/>
      </c>
      <c r="H105" s="20">
        <f>IF(AND(ISNUMBER(F105),ISNUMBER(G105)),ROUND(F105*G105,2),"")</f>
        <v/>
      </c>
    </row>
    <row r="106">
      <c r="A106" s="18" t="n"/>
      <c r="F106" s="21" t="n"/>
      <c r="G106" s="22">
        <f>IF(ISNUMBER(A106),IF(A106&lt;MIN('IRS Rates'!$A$2:$A$21),"No rate",VLOOKUP(A106,'IRS Rates'!$A$2:$B$21,2,TRUE)),"")</f>
        <v/>
      </c>
      <c r="H106" s="20">
        <f>IF(AND(ISNUMBER(F106),ISNUMBER(G106)),ROUND(F106*G106,2),"")</f>
        <v/>
      </c>
    </row>
    <row r="107">
      <c r="A107" s="18" t="n"/>
      <c r="F107" s="21" t="n"/>
      <c r="G107" s="22">
        <f>IF(ISNUMBER(A107),IF(A107&lt;MIN('IRS Rates'!$A$2:$A$21),"No rate",VLOOKUP(A107,'IRS Rates'!$A$2:$B$21,2,TRUE)),"")</f>
        <v/>
      </c>
      <c r="H107" s="20">
        <f>IF(AND(ISNUMBER(F107),ISNUMBER(G107)),ROUND(F107*G107,2),"")</f>
        <v/>
      </c>
    </row>
    <row r="108">
      <c r="A108" s="18" t="n"/>
      <c r="F108" s="21" t="n"/>
      <c r="G108" s="22">
        <f>IF(ISNUMBER(A108),IF(A108&lt;MIN('IRS Rates'!$A$2:$A$21),"No rate",VLOOKUP(A108,'IRS Rates'!$A$2:$B$21,2,TRUE)),"")</f>
        <v/>
      </c>
      <c r="H108" s="20">
        <f>IF(AND(ISNUMBER(F108),ISNUMBER(G108)),ROUND(F108*G108,2),"")</f>
        <v/>
      </c>
    </row>
    <row r="109">
      <c r="A109" s="18" t="n"/>
      <c r="F109" s="21" t="n"/>
      <c r="G109" s="22">
        <f>IF(ISNUMBER(A109),IF(A109&lt;MIN('IRS Rates'!$A$2:$A$21),"No rate",VLOOKUP(A109,'IRS Rates'!$A$2:$B$21,2,TRUE)),"")</f>
        <v/>
      </c>
      <c r="H109" s="20">
        <f>IF(AND(ISNUMBER(F109),ISNUMBER(G109)),ROUND(F109*G109,2),"")</f>
        <v/>
      </c>
    </row>
    <row r="110">
      <c r="A110" s="18" t="n"/>
      <c r="F110" s="21" t="n"/>
      <c r="G110" s="22">
        <f>IF(ISNUMBER(A110),IF(A110&lt;MIN('IRS Rates'!$A$2:$A$21),"No rate",VLOOKUP(A110,'IRS Rates'!$A$2:$B$21,2,TRUE)),"")</f>
        <v/>
      </c>
      <c r="H110" s="20">
        <f>IF(AND(ISNUMBER(F110),ISNUMBER(G110)),ROUND(F110*G110,2),"")</f>
        <v/>
      </c>
    </row>
    <row r="111">
      <c r="A111" s="18" t="n"/>
      <c r="F111" s="21" t="n"/>
      <c r="G111" s="22">
        <f>IF(ISNUMBER(A111),IF(A111&lt;MIN('IRS Rates'!$A$2:$A$21),"No rate",VLOOKUP(A111,'IRS Rates'!$A$2:$B$21,2,TRUE)),"")</f>
        <v/>
      </c>
      <c r="H111" s="20">
        <f>IF(AND(ISNUMBER(F111),ISNUMBER(G111)),ROUND(F111*G111,2),"")</f>
        <v/>
      </c>
    </row>
    <row r="112">
      <c r="A112" s="18" t="n"/>
      <c r="F112" s="21" t="n"/>
      <c r="G112" s="22">
        <f>IF(ISNUMBER(A112),IF(A112&lt;MIN('IRS Rates'!$A$2:$A$21),"No rate",VLOOKUP(A112,'IRS Rates'!$A$2:$B$21,2,TRUE)),"")</f>
        <v/>
      </c>
      <c r="H112" s="20">
        <f>IF(AND(ISNUMBER(F112),ISNUMBER(G112)),ROUND(F112*G112,2),"")</f>
        <v/>
      </c>
    </row>
    <row r="113">
      <c r="A113" s="18" t="n"/>
      <c r="F113" s="21" t="n"/>
      <c r="G113" s="22">
        <f>IF(ISNUMBER(A113),IF(A113&lt;MIN('IRS Rates'!$A$2:$A$21),"No rate",VLOOKUP(A113,'IRS Rates'!$A$2:$B$21,2,TRUE)),"")</f>
        <v/>
      </c>
      <c r="H113" s="20">
        <f>IF(AND(ISNUMBER(F113),ISNUMBER(G113)),ROUND(F113*G113,2),"")</f>
        <v/>
      </c>
    </row>
    <row r="114">
      <c r="A114" s="18" t="n"/>
      <c r="F114" s="21" t="n"/>
      <c r="G114" s="22">
        <f>IF(ISNUMBER(A114),IF(A114&lt;MIN('IRS Rates'!$A$2:$A$21),"No rate",VLOOKUP(A114,'IRS Rates'!$A$2:$B$21,2,TRUE)),"")</f>
        <v/>
      </c>
      <c r="H114" s="20">
        <f>IF(AND(ISNUMBER(F114),ISNUMBER(G114)),ROUND(F114*G114,2),"")</f>
        <v/>
      </c>
    </row>
    <row r="115">
      <c r="A115" s="18" t="n"/>
      <c r="F115" s="21" t="n"/>
      <c r="G115" s="22">
        <f>IF(ISNUMBER(A115),IF(A115&lt;MIN('IRS Rates'!$A$2:$A$21),"No rate",VLOOKUP(A115,'IRS Rates'!$A$2:$B$21,2,TRUE)),"")</f>
        <v/>
      </c>
      <c r="H115" s="20">
        <f>IF(AND(ISNUMBER(F115),ISNUMBER(G115)),ROUND(F115*G115,2),"")</f>
        <v/>
      </c>
    </row>
    <row r="116">
      <c r="A116" s="18" t="n"/>
      <c r="F116" s="21" t="n"/>
      <c r="G116" s="22">
        <f>IF(ISNUMBER(A116),IF(A116&lt;MIN('IRS Rates'!$A$2:$A$21),"No rate",VLOOKUP(A116,'IRS Rates'!$A$2:$B$21,2,TRUE)),"")</f>
        <v/>
      </c>
      <c r="H116" s="20">
        <f>IF(AND(ISNUMBER(F116),ISNUMBER(G116)),ROUND(F116*G116,2),"")</f>
        <v/>
      </c>
    </row>
    <row r="117">
      <c r="A117" s="18" t="n"/>
      <c r="F117" s="21" t="n"/>
      <c r="G117" s="22">
        <f>IF(ISNUMBER(A117),IF(A117&lt;MIN('IRS Rates'!$A$2:$A$21),"No rate",VLOOKUP(A117,'IRS Rates'!$A$2:$B$21,2,TRUE)),"")</f>
        <v/>
      </c>
      <c r="H117" s="20">
        <f>IF(AND(ISNUMBER(F117),ISNUMBER(G117)),ROUND(F117*G117,2),"")</f>
        <v/>
      </c>
    </row>
    <row r="118">
      <c r="A118" s="18" t="n"/>
      <c r="F118" s="21" t="n"/>
      <c r="G118" s="22">
        <f>IF(ISNUMBER(A118),IF(A118&lt;MIN('IRS Rates'!$A$2:$A$21),"No rate",VLOOKUP(A118,'IRS Rates'!$A$2:$B$21,2,TRUE)),"")</f>
        <v/>
      </c>
      <c r="H118" s="20">
        <f>IF(AND(ISNUMBER(F118),ISNUMBER(G118)),ROUND(F118*G118,2),"")</f>
        <v/>
      </c>
    </row>
    <row r="119">
      <c r="A119" s="18" t="n"/>
      <c r="F119" s="21" t="n"/>
      <c r="G119" s="22">
        <f>IF(ISNUMBER(A119),IF(A119&lt;MIN('IRS Rates'!$A$2:$A$21),"No rate",VLOOKUP(A119,'IRS Rates'!$A$2:$B$21,2,TRUE)),"")</f>
        <v/>
      </c>
      <c r="H119" s="20">
        <f>IF(AND(ISNUMBER(F119),ISNUMBER(G119)),ROUND(F119*G119,2),"")</f>
        <v/>
      </c>
    </row>
    <row r="120">
      <c r="A120" s="18" t="n"/>
      <c r="F120" s="21" t="n"/>
      <c r="G120" s="22">
        <f>IF(ISNUMBER(A120),IF(A120&lt;MIN('IRS Rates'!$A$2:$A$21),"No rate",VLOOKUP(A120,'IRS Rates'!$A$2:$B$21,2,TRUE)),"")</f>
        <v/>
      </c>
      <c r="H120" s="20">
        <f>IF(AND(ISNUMBER(F120),ISNUMBER(G120)),ROUND(F120*G120,2),"")</f>
        <v/>
      </c>
    </row>
    <row r="121">
      <c r="A121" s="18" t="n"/>
      <c r="F121" s="21" t="n"/>
      <c r="G121" s="22">
        <f>IF(ISNUMBER(A121),IF(A121&lt;MIN('IRS Rates'!$A$2:$A$21),"No rate",VLOOKUP(A121,'IRS Rates'!$A$2:$B$21,2,TRUE)),"")</f>
        <v/>
      </c>
      <c r="H121" s="20">
        <f>IF(AND(ISNUMBER(F121),ISNUMBER(G121)),ROUND(F121*G121,2),"")</f>
        <v/>
      </c>
    </row>
    <row r="122">
      <c r="A122" s="18" t="n"/>
      <c r="F122" s="21" t="n"/>
      <c r="G122" s="22">
        <f>IF(ISNUMBER(A122),IF(A122&lt;MIN('IRS Rates'!$A$2:$A$21),"No rate",VLOOKUP(A122,'IRS Rates'!$A$2:$B$21,2,TRUE)),"")</f>
        <v/>
      </c>
      <c r="H122" s="20">
        <f>IF(AND(ISNUMBER(F122),ISNUMBER(G122)),ROUND(F122*G122,2),"")</f>
        <v/>
      </c>
    </row>
    <row r="123">
      <c r="A123" s="18" t="n"/>
      <c r="F123" s="21" t="n"/>
      <c r="G123" s="22">
        <f>IF(ISNUMBER(A123),IF(A123&lt;MIN('IRS Rates'!$A$2:$A$21),"No rate",VLOOKUP(A123,'IRS Rates'!$A$2:$B$21,2,TRUE)),"")</f>
        <v/>
      </c>
      <c r="H123" s="20">
        <f>IF(AND(ISNUMBER(F123),ISNUMBER(G123)),ROUND(F123*G123,2),"")</f>
        <v/>
      </c>
    </row>
    <row r="124">
      <c r="A124" s="18" t="n"/>
      <c r="F124" s="21" t="n"/>
      <c r="G124" s="22">
        <f>IF(ISNUMBER(A124),IF(A124&lt;MIN('IRS Rates'!$A$2:$A$21),"No rate",VLOOKUP(A124,'IRS Rates'!$A$2:$B$21,2,TRUE)),"")</f>
        <v/>
      </c>
      <c r="H124" s="20">
        <f>IF(AND(ISNUMBER(F124),ISNUMBER(G124)),ROUND(F124*G124,2),"")</f>
        <v/>
      </c>
    </row>
    <row r="125">
      <c r="A125" s="18" t="n"/>
      <c r="F125" s="21" t="n"/>
      <c r="G125" s="22">
        <f>IF(ISNUMBER(A125),IF(A125&lt;MIN('IRS Rates'!$A$2:$A$21),"No rate",VLOOKUP(A125,'IRS Rates'!$A$2:$B$21,2,TRUE)),"")</f>
        <v/>
      </c>
      <c r="H125" s="20">
        <f>IF(AND(ISNUMBER(F125),ISNUMBER(G125)),ROUND(F125*G125,2),"")</f>
        <v/>
      </c>
    </row>
    <row r="126">
      <c r="A126" s="18" t="n"/>
      <c r="F126" s="21" t="n"/>
      <c r="G126" s="22">
        <f>IF(ISNUMBER(A126),IF(A126&lt;MIN('IRS Rates'!$A$2:$A$21),"No rate",VLOOKUP(A126,'IRS Rates'!$A$2:$B$21,2,TRUE)),"")</f>
        <v/>
      </c>
      <c r="H126" s="20">
        <f>IF(AND(ISNUMBER(F126),ISNUMBER(G126)),ROUND(F126*G126,2),"")</f>
        <v/>
      </c>
    </row>
    <row r="127">
      <c r="A127" s="18" t="n"/>
      <c r="F127" s="21" t="n"/>
      <c r="G127" s="22">
        <f>IF(ISNUMBER(A127),IF(A127&lt;MIN('IRS Rates'!$A$2:$A$21),"No rate",VLOOKUP(A127,'IRS Rates'!$A$2:$B$21,2,TRUE)),"")</f>
        <v/>
      </c>
      <c r="H127" s="20">
        <f>IF(AND(ISNUMBER(F127),ISNUMBER(G127)),ROUND(F127*G127,2),"")</f>
        <v/>
      </c>
    </row>
    <row r="128">
      <c r="A128" s="18" t="n"/>
      <c r="F128" s="21" t="n"/>
      <c r="G128" s="22">
        <f>IF(ISNUMBER(A128),IF(A128&lt;MIN('IRS Rates'!$A$2:$A$21),"No rate",VLOOKUP(A128,'IRS Rates'!$A$2:$B$21,2,TRUE)),"")</f>
        <v/>
      </c>
      <c r="H128" s="20">
        <f>IF(AND(ISNUMBER(F128),ISNUMBER(G128)),ROUND(F128*G128,2),"")</f>
        <v/>
      </c>
    </row>
    <row r="129">
      <c r="A129" s="18" t="n"/>
      <c r="F129" s="21" t="n"/>
      <c r="G129" s="22">
        <f>IF(ISNUMBER(A129),IF(A129&lt;MIN('IRS Rates'!$A$2:$A$21),"No rate",VLOOKUP(A129,'IRS Rates'!$A$2:$B$21,2,TRUE)),"")</f>
        <v/>
      </c>
      <c r="H129" s="20">
        <f>IF(AND(ISNUMBER(F129),ISNUMBER(G129)),ROUND(F129*G129,2),"")</f>
        <v/>
      </c>
    </row>
    <row r="130">
      <c r="A130" s="18" t="n"/>
      <c r="F130" s="21" t="n"/>
      <c r="G130" s="22">
        <f>IF(ISNUMBER(A130),IF(A130&lt;MIN('IRS Rates'!$A$2:$A$21),"No rate",VLOOKUP(A130,'IRS Rates'!$A$2:$B$21,2,TRUE)),"")</f>
        <v/>
      </c>
      <c r="H130" s="20">
        <f>IF(AND(ISNUMBER(F130),ISNUMBER(G130)),ROUND(F130*G130,2),"")</f>
        <v/>
      </c>
    </row>
    <row r="131">
      <c r="A131" s="18" t="n"/>
      <c r="F131" s="21" t="n"/>
      <c r="G131" s="22">
        <f>IF(ISNUMBER(A131),IF(A131&lt;MIN('IRS Rates'!$A$2:$A$21),"No rate",VLOOKUP(A131,'IRS Rates'!$A$2:$B$21,2,TRUE)),"")</f>
        <v/>
      </c>
      <c r="H131" s="20">
        <f>IF(AND(ISNUMBER(F131),ISNUMBER(G131)),ROUND(F131*G131,2),"")</f>
        <v/>
      </c>
    </row>
    <row r="132">
      <c r="A132" s="18" t="n"/>
      <c r="F132" s="21" t="n"/>
      <c r="G132" s="22">
        <f>IF(ISNUMBER(A132),IF(A132&lt;MIN('IRS Rates'!$A$2:$A$21),"No rate",VLOOKUP(A132,'IRS Rates'!$A$2:$B$21,2,TRUE)),"")</f>
        <v/>
      </c>
      <c r="H132" s="20">
        <f>IF(AND(ISNUMBER(F132),ISNUMBER(G132)),ROUND(F132*G132,2),"")</f>
        <v/>
      </c>
    </row>
    <row r="133">
      <c r="A133" s="18" t="n"/>
      <c r="F133" s="21" t="n"/>
      <c r="G133" s="22">
        <f>IF(ISNUMBER(A133),IF(A133&lt;MIN('IRS Rates'!$A$2:$A$21),"No rate",VLOOKUP(A133,'IRS Rates'!$A$2:$B$21,2,TRUE)),"")</f>
        <v/>
      </c>
      <c r="H133" s="20">
        <f>IF(AND(ISNUMBER(F133),ISNUMBER(G133)),ROUND(F133*G133,2),"")</f>
        <v/>
      </c>
    </row>
    <row r="134">
      <c r="A134" s="18" t="n"/>
      <c r="F134" s="21" t="n"/>
      <c r="G134" s="22">
        <f>IF(ISNUMBER(A134),IF(A134&lt;MIN('IRS Rates'!$A$2:$A$21),"No rate",VLOOKUP(A134,'IRS Rates'!$A$2:$B$21,2,TRUE)),"")</f>
        <v/>
      </c>
      <c r="H134" s="20">
        <f>IF(AND(ISNUMBER(F134),ISNUMBER(G134)),ROUND(F134*G134,2),"")</f>
        <v/>
      </c>
    </row>
    <row r="135">
      <c r="A135" s="18" t="n"/>
      <c r="F135" s="21" t="n"/>
      <c r="G135" s="22">
        <f>IF(ISNUMBER(A135),IF(A135&lt;MIN('IRS Rates'!$A$2:$A$21),"No rate",VLOOKUP(A135,'IRS Rates'!$A$2:$B$21,2,TRUE)),"")</f>
        <v/>
      </c>
      <c r="H135" s="20">
        <f>IF(AND(ISNUMBER(F135),ISNUMBER(G135)),ROUND(F135*G135,2),"")</f>
        <v/>
      </c>
    </row>
    <row r="136">
      <c r="A136" s="18" t="n"/>
      <c r="F136" s="21" t="n"/>
      <c r="G136" s="22">
        <f>IF(ISNUMBER(A136),IF(A136&lt;MIN('IRS Rates'!$A$2:$A$21),"No rate",VLOOKUP(A136,'IRS Rates'!$A$2:$B$21,2,TRUE)),"")</f>
        <v/>
      </c>
      <c r="H136" s="20">
        <f>IF(AND(ISNUMBER(F136),ISNUMBER(G136)),ROUND(F136*G136,2),"")</f>
        <v/>
      </c>
    </row>
    <row r="137">
      <c r="A137" s="18" t="n"/>
      <c r="F137" s="21" t="n"/>
      <c r="G137" s="22">
        <f>IF(ISNUMBER(A137),IF(A137&lt;MIN('IRS Rates'!$A$2:$A$21),"No rate",VLOOKUP(A137,'IRS Rates'!$A$2:$B$21,2,TRUE)),"")</f>
        <v/>
      </c>
      <c r="H137" s="20">
        <f>IF(AND(ISNUMBER(F137),ISNUMBER(G137)),ROUND(F137*G137,2),"")</f>
        <v/>
      </c>
    </row>
    <row r="138">
      <c r="A138" s="18" t="n"/>
      <c r="F138" s="21" t="n"/>
      <c r="G138" s="22">
        <f>IF(ISNUMBER(A138),IF(A138&lt;MIN('IRS Rates'!$A$2:$A$21),"No rate",VLOOKUP(A138,'IRS Rates'!$A$2:$B$21,2,TRUE)),"")</f>
        <v/>
      </c>
      <c r="H138" s="20">
        <f>IF(AND(ISNUMBER(F138),ISNUMBER(G138)),ROUND(F138*G138,2),"")</f>
        <v/>
      </c>
    </row>
    <row r="139">
      <c r="A139" s="18" t="n"/>
      <c r="F139" s="21" t="n"/>
      <c r="G139" s="22">
        <f>IF(ISNUMBER(A139),IF(A139&lt;MIN('IRS Rates'!$A$2:$A$21),"No rate",VLOOKUP(A139,'IRS Rates'!$A$2:$B$21,2,TRUE)),"")</f>
        <v/>
      </c>
      <c r="H139" s="20">
        <f>IF(AND(ISNUMBER(F139),ISNUMBER(G139)),ROUND(F139*G139,2),"")</f>
        <v/>
      </c>
    </row>
    <row r="140">
      <c r="A140" s="18" t="n"/>
      <c r="F140" s="21" t="n"/>
      <c r="G140" s="22">
        <f>IF(ISNUMBER(A140),IF(A140&lt;MIN('IRS Rates'!$A$2:$A$21),"No rate",VLOOKUP(A140,'IRS Rates'!$A$2:$B$21,2,TRUE)),"")</f>
        <v/>
      </c>
      <c r="H140" s="20">
        <f>IF(AND(ISNUMBER(F140),ISNUMBER(G140)),ROUND(F140*G140,2),"")</f>
        <v/>
      </c>
    </row>
    <row r="141">
      <c r="A141" s="18" t="n"/>
      <c r="F141" s="21" t="n"/>
      <c r="G141" s="22">
        <f>IF(ISNUMBER(A141),IF(A141&lt;MIN('IRS Rates'!$A$2:$A$21),"No rate",VLOOKUP(A141,'IRS Rates'!$A$2:$B$21,2,TRUE)),"")</f>
        <v/>
      </c>
      <c r="H141" s="20">
        <f>IF(AND(ISNUMBER(F141),ISNUMBER(G141)),ROUND(F141*G141,2),"")</f>
        <v/>
      </c>
    </row>
    <row r="142">
      <c r="A142" s="18" t="n"/>
      <c r="F142" s="21" t="n"/>
      <c r="G142" s="22">
        <f>IF(ISNUMBER(A142),IF(A142&lt;MIN('IRS Rates'!$A$2:$A$21),"No rate",VLOOKUP(A142,'IRS Rates'!$A$2:$B$21,2,TRUE)),"")</f>
        <v/>
      </c>
      <c r="H142" s="20">
        <f>IF(AND(ISNUMBER(F142),ISNUMBER(G142)),ROUND(F142*G142,2),"")</f>
        <v/>
      </c>
    </row>
    <row r="143">
      <c r="A143" s="18" t="n"/>
      <c r="F143" s="21" t="n"/>
      <c r="G143" s="22">
        <f>IF(ISNUMBER(A143),IF(A143&lt;MIN('IRS Rates'!$A$2:$A$21),"No rate",VLOOKUP(A143,'IRS Rates'!$A$2:$B$21,2,TRUE)),"")</f>
        <v/>
      </c>
      <c r="H143" s="20">
        <f>IF(AND(ISNUMBER(F143),ISNUMBER(G143)),ROUND(F143*G143,2),"")</f>
        <v/>
      </c>
    </row>
    <row r="144">
      <c r="A144" s="18" t="n"/>
      <c r="F144" s="21" t="n"/>
      <c r="G144" s="22">
        <f>IF(ISNUMBER(A144),IF(A144&lt;MIN('IRS Rates'!$A$2:$A$21),"No rate",VLOOKUP(A144,'IRS Rates'!$A$2:$B$21,2,TRUE)),"")</f>
        <v/>
      </c>
      <c r="H144" s="20">
        <f>IF(AND(ISNUMBER(F144),ISNUMBER(G144)),ROUND(F144*G144,2),"")</f>
        <v/>
      </c>
    </row>
    <row r="145">
      <c r="A145" s="18" t="n"/>
      <c r="F145" s="21" t="n"/>
      <c r="G145" s="22">
        <f>IF(ISNUMBER(A145),IF(A145&lt;MIN('IRS Rates'!$A$2:$A$21),"No rate",VLOOKUP(A145,'IRS Rates'!$A$2:$B$21,2,TRUE)),"")</f>
        <v/>
      </c>
      <c r="H145" s="20">
        <f>IF(AND(ISNUMBER(F145),ISNUMBER(G145)),ROUND(F145*G145,2),"")</f>
        <v/>
      </c>
    </row>
    <row r="146">
      <c r="A146" s="18" t="n"/>
      <c r="F146" s="21" t="n"/>
      <c r="G146" s="22">
        <f>IF(ISNUMBER(A146),IF(A146&lt;MIN('IRS Rates'!$A$2:$A$21),"No rate",VLOOKUP(A146,'IRS Rates'!$A$2:$B$21,2,TRUE)),"")</f>
        <v/>
      </c>
      <c r="H146" s="20">
        <f>IF(AND(ISNUMBER(F146),ISNUMBER(G146)),ROUND(F146*G146,2),"")</f>
        <v/>
      </c>
    </row>
    <row r="147">
      <c r="A147" s="18" t="n"/>
      <c r="F147" s="21" t="n"/>
      <c r="G147" s="22">
        <f>IF(ISNUMBER(A147),IF(A147&lt;MIN('IRS Rates'!$A$2:$A$21),"No rate",VLOOKUP(A147,'IRS Rates'!$A$2:$B$21,2,TRUE)),"")</f>
        <v/>
      </c>
      <c r="H147" s="20">
        <f>IF(AND(ISNUMBER(F147),ISNUMBER(G147)),ROUND(F147*G147,2),"")</f>
        <v/>
      </c>
    </row>
    <row r="148">
      <c r="A148" s="18" t="n"/>
      <c r="F148" s="21" t="n"/>
      <c r="G148" s="22">
        <f>IF(ISNUMBER(A148),IF(A148&lt;MIN('IRS Rates'!$A$2:$A$21),"No rate",VLOOKUP(A148,'IRS Rates'!$A$2:$B$21,2,TRUE)),"")</f>
        <v/>
      </c>
      <c r="H148" s="20">
        <f>IF(AND(ISNUMBER(F148),ISNUMBER(G148)),ROUND(F148*G148,2),"")</f>
        <v/>
      </c>
    </row>
    <row r="149">
      <c r="A149" s="18" t="n"/>
      <c r="F149" s="21" t="n"/>
      <c r="G149" s="22">
        <f>IF(ISNUMBER(A149),IF(A149&lt;MIN('IRS Rates'!$A$2:$A$21),"No rate",VLOOKUP(A149,'IRS Rates'!$A$2:$B$21,2,TRUE)),"")</f>
        <v/>
      </c>
      <c r="H149" s="20">
        <f>IF(AND(ISNUMBER(F149),ISNUMBER(G149)),ROUND(F149*G149,2),"")</f>
        <v/>
      </c>
    </row>
    <row r="150">
      <c r="A150" s="18" t="n"/>
      <c r="F150" s="21" t="n"/>
      <c r="G150" s="22">
        <f>IF(ISNUMBER(A150),IF(A150&lt;MIN('IRS Rates'!$A$2:$A$21),"No rate",VLOOKUP(A150,'IRS Rates'!$A$2:$B$21,2,TRUE)),"")</f>
        <v/>
      </c>
      <c r="H150" s="20">
        <f>IF(AND(ISNUMBER(F150),ISNUMBER(G150)),ROUND(F150*G150,2),"")</f>
        <v/>
      </c>
    </row>
    <row r="151">
      <c r="A151" s="18" t="n"/>
      <c r="F151" s="21" t="n"/>
      <c r="G151" s="22">
        <f>IF(ISNUMBER(A151),IF(A151&lt;MIN('IRS Rates'!$A$2:$A$21),"No rate",VLOOKUP(A151,'IRS Rates'!$A$2:$B$21,2,TRUE)),"")</f>
        <v/>
      </c>
      <c r="H151" s="20">
        <f>IF(AND(ISNUMBER(F151),ISNUMBER(G151)),ROUND(F151*G151,2),"")</f>
        <v/>
      </c>
    </row>
    <row r="152">
      <c r="A152" s="18" t="n"/>
      <c r="F152" s="21" t="n"/>
      <c r="G152" s="22">
        <f>IF(ISNUMBER(A152),IF(A152&lt;MIN('IRS Rates'!$A$2:$A$21),"No rate",VLOOKUP(A152,'IRS Rates'!$A$2:$B$21,2,TRUE)),"")</f>
        <v/>
      </c>
      <c r="H152" s="20">
        <f>IF(AND(ISNUMBER(F152),ISNUMBER(G152)),ROUND(F152*G152,2),"")</f>
        <v/>
      </c>
    </row>
    <row r="153">
      <c r="A153" s="18" t="n"/>
      <c r="F153" s="21" t="n"/>
      <c r="G153" s="22">
        <f>IF(ISNUMBER(A153),IF(A153&lt;MIN('IRS Rates'!$A$2:$A$21),"No rate",VLOOKUP(A153,'IRS Rates'!$A$2:$B$21,2,TRUE)),"")</f>
        <v/>
      </c>
      <c r="H153" s="20">
        <f>IF(AND(ISNUMBER(F153),ISNUMBER(G153)),ROUND(F153*G153,2),"")</f>
        <v/>
      </c>
    </row>
    <row r="154">
      <c r="A154" s="18" t="n"/>
      <c r="F154" s="21" t="n"/>
      <c r="G154" s="22">
        <f>IF(ISNUMBER(A154),IF(A154&lt;MIN('IRS Rates'!$A$2:$A$21),"No rate",VLOOKUP(A154,'IRS Rates'!$A$2:$B$21,2,TRUE)),"")</f>
        <v/>
      </c>
      <c r="H154" s="20">
        <f>IF(AND(ISNUMBER(F154),ISNUMBER(G154)),ROUND(F154*G154,2),"")</f>
        <v/>
      </c>
    </row>
    <row r="155">
      <c r="A155" s="18" t="n"/>
      <c r="F155" s="21" t="n"/>
      <c r="G155" s="22">
        <f>IF(ISNUMBER(A155),IF(A155&lt;MIN('IRS Rates'!$A$2:$A$21),"No rate",VLOOKUP(A155,'IRS Rates'!$A$2:$B$21,2,TRUE)),"")</f>
        <v/>
      </c>
      <c r="H155" s="20">
        <f>IF(AND(ISNUMBER(F155),ISNUMBER(G155)),ROUND(F155*G155,2),"")</f>
        <v/>
      </c>
    </row>
    <row r="156">
      <c r="A156" s="18" t="n"/>
      <c r="F156" s="21" t="n"/>
      <c r="G156" s="22">
        <f>IF(ISNUMBER(A156),IF(A156&lt;MIN('IRS Rates'!$A$2:$A$21),"No rate",VLOOKUP(A156,'IRS Rates'!$A$2:$B$21,2,TRUE)),"")</f>
        <v/>
      </c>
      <c r="H156" s="20">
        <f>IF(AND(ISNUMBER(F156),ISNUMBER(G156)),ROUND(F156*G156,2),"")</f>
        <v/>
      </c>
    </row>
    <row r="157">
      <c r="A157" s="18" t="n"/>
      <c r="F157" s="21" t="n"/>
      <c r="G157" s="22">
        <f>IF(ISNUMBER(A157),IF(A157&lt;MIN('IRS Rates'!$A$2:$A$21),"No rate",VLOOKUP(A157,'IRS Rates'!$A$2:$B$21,2,TRUE)),"")</f>
        <v/>
      </c>
      <c r="H157" s="20">
        <f>IF(AND(ISNUMBER(F157),ISNUMBER(G157)),ROUND(F157*G157,2),"")</f>
        <v/>
      </c>
    </row>
    <row r="158">
      <c r="A158" s="18" t="n"/>
      <c r="F158" s="21" t="n"/>
      <c r="G158" s="22">
        <f>IF(ISNUMBER(A158),IF(A158&lt;MIN('IRS Rates'!$A$2:$A$21),"No rate",VLOOKUP(A158,'IRS Rates'!$A$2:$B$21,2,TRUE)),"")</f>
        <v/>
      </c>
      <c r="H158" s="20">
        <f>IF(AND(ISNUMBER(F158),ISNUMBER(G158)),ROUND(F158*G158,2),"")</f>
        <v/>
      </c>
    </row>
    <row r="159">
      <c r="A159" s="18" t="n"/>
      <c r="F159" s="21" t="n"/>
      <c r="G159" s="22">
        <f>IF(ISNUMBER(A159),IF(A159&lt;MIN('IRS Rates'!$A$2:$A$21),"No rate",VLOOKUP(A159,'IRS Rates'!$A$2:$B$21,2,TRUE)),"")</f>
        <v/>
      </c>
      <c r="H159" s="20">
        <f>IF(AND(ISNUMBER(F159),ISNUMBER(G159)),ROUND(F159*G159,2),"")</f>
        <v/>
      </c>
    </row>
    <row r="160">
      <c r="A160" s="18" t="n"/>
      <c r="F160" s="21" t="n"/>
      <c r="G160" s="22">
        <f>IF(ISNUMBER(A160),IF(A160&lt;MIN('IRS Rates'!$A$2:$A$21),"No rate",VLOOKUP(A160,'IRS Rates'!$A$2:$B$21,2,TRUE)),"")</f>
        <v/>
      </c>
      <c r="H160" s="20">
        <f>IF(AND(ISNUMBER(F160),ISNUMBER(G160)),ROUND(F160*G160,2),"")</f>
        <v/>
      </c>
    </row>
    <row r="161">
      <c r="A161" s="18" t="n"/>
      <c r="F161" s="21" t="n"/>
      <c r="G161" s="22">
        <f>IF(ISNUMBER(A161),IF(A161&lt;MIN('IRS Rates'!$A$2:$A$21),"No rate",VLOOKUP(A161,'IRS Rates'!$A$2:$B$21,2,TRUE)),"")</f>
        <v/>
      </c>
      <c r="H161" s="20">
        <f>IF(AND(ISNUMBER(F161),ISNUMBER(G161)),ROUND(F161*G161,2),"")</f>
        <v/>
      </c>
    </row>
    <row r="162">
      <c r="A162" s="18" t="n"/>
      <c r="F162" s="21" t="n"/>
      <c r="G162" s="22">
        <f>IF(ISNUMBER(A162),IF(A162&lt;MIN('IRS Rates'!$A$2:$A$21),"No rate",VLOOKUP(A162,'IRS Rates'!$A$2:$B$21,2,TRUE)),"")</f>
        <v/>
      </c>
      <c r="H162" s="20">
        <f>IF(AND(ISNUMBER(F162),ISNUMBER(G162)),ROUND(F162*G162,2),"")</f>
        <v/>
      </c>
    </row>
    <row r="163">
      <c r="A163" s="18" t="n"/>
      <c r="F163" s="21" t="n"/>
      <c r="G163" s="22">
        <f>IF(ISNUMBER(A163),IF(A163&lt;MIN('IRS Rates'!$A$2:$A$21),"No rate",VLOOKUP(A163,'IRS Rates'!$A$2:$B$21,2,TRUE)),"")</f>
        <v/>
      </c>
      <c r="H163" s="20">
        <f>IF(AND(ISNUMBER(F163),ISNUMBER(G163)),ROUND(F163*G163,2),"")</f>
        <v/>
      </c>
    </row>
    <row r="164">
      <c r="A164" s="18" t="n"/>
      <c r="F164" s="21" t="n"/>
      <c r="G164" s="22">
        <f>IF(ISNUMBER(A164),IF(A164&lt;MIN('IRS Rates'!$A$2:$A$21),"No rate",VLOOKUP(A164,'IRS Rates'!$A$2:$B$21,2,TRUE)),"")</f>
        <v/>
      </c>
      <c r="H164" s="20">
        <f>IF(AND(ISNUMBER(F164),ISNUMBER(G164)),ROUND(F164*G164,2),"")</f>
        <v/>
      </c>
    </row>
    <row r="165">
      <c r="A165" s="18" t="n"/>
      <c r="F165" s="21" t="n"/>
      <c r="G165" s="22">
        <f>IF(ISNUMBER(A165),IF(A165&lt;MIN('IRS Rates'!$A$2:$A$21),"No rate",VLOOKUP(A165,'IRS Rates'!$A$2:$B$21,2,TRUE)),"")</f>
        <v/>
      </c>
      <c r="H165" s="20">
        <f>IF(AND(ISNUMBER(F165),ISNUMBER(G165)),ROUND(F165*G165,2),"")</f>
        <v/>
      </c>
    </row>
    <row r="166">
      <c r="A166" s="18" t="n"/>
      <c r="F166" s="21" t="n"/>
      <c r="G166" s="22">
        <f>IF(ISNUMBER(A166),IF(A166&lt;MIN('IRS Rates'!$A$2:$A$21),"No rate",VLOOKUP(A166,'IRS Rates'!$A$2:$B$21,2,TRUE)),"")</f>
        <v/>
      </c>
      <c r="H166" s="20">
        <f>IF(AND(ISNUMBER(F166),ISNUMBER(G166)),ROUND(F166*G166,2),"")</f>
        <v/>
      </c>
    </row>
    <row r="167">
      <c r="A167" s="18" t="n"/>
      <c r="F167" s="21" t="n"/>
      <c r="G167" s="22">
        <f>IF(ISNUMBER(A167),IF(A167&lt;MIN('IRS Rates'!$A$2:$A$21),"No rate",VLOOKUP(A167,'IRS Rates'!$A$2:$B$21,2,TRUE)),"")</f>
        <v/>
      </c>
      <c r="H167" s="20">
        <f>IF(AND(ISNUMBER(F167),ISNUMBER(G167)),ROUND(F167*G167,2),"")</f>
        <v/>
      </c>
    </row>
    <row r="168">
      <c r="A168" s="18" t="n"/>
      <c r="F168" s="21" t="n"/>
      <c r="G168" s="22">
        <f>IF(ISNUMBER(A168),IF(A168&lt;MIN('IRS Rates'!$A$2:$A$21),"No rate",VLOOKUP(A168,'IRS Rates'!$A$2:$B$21,2,TRUE)),"")</f>
        <v/>
      </c>
      <c r="H168" s="20">
        <f>IF(AND(ISNUMBER(F168),ISNUMBER(G168)),ROUND(F168*G168,2),"")</f>
        <v/>
      </c>
    </row>
    <row r="169">
      <c r="A169" s="18" t="n"/>
      <c r="F169" s="21" t="n"/>
      <c r="G169" s="22">
        <f>IF(ISNUMBER(A169),IF(A169&lt;MIN('IRS Rates'!$A$2:$A$21),"No rate",VLOOKUP(A169,'IRS Rates'!$A$2:$B$21,2,TRUE)),"")</f>
        <v/>
      </c>
      <c r="H169" s="20">
        <f>IF(AND(ISNUMBER(F169),ISNUMBER(G169)),ROUND(F169*G169,2),"")</f>
        <v/>
      </c>
    </row>
    <row r="170">
      <c r="A170" s="18" t="n"/>
      <c r="F170" s="21" t="n"/>
      <c r="G170" s="22">
        <f>IF(ISNUMBER(A170),IF(A170&lt;MIN('IRS Rates'!$A$2:$A$21),"No rate",VLOOKUP(A170,'IRS Rates'!$A$2:$B$21,2,TRUE)),"")</f>
        <v/>
      </c>
      <c r="H170" s="20">
        <f>IF(AND(ISNUMBER(F170),ISNUMBER(G170)),ROUND(F170*G170,2),"")</f>
        <v/>
      </c>
    </row>
    <row r="171">
      <c r="A171" s="18" t="n"/>
      <c r="F171" s="21" t="n"/>
      <c r="G171" s="22">
        <f>IF(ISNUMBER(A171),IF(A171&lt;MIN('IRS Rates'!$A$2:$A$21),"No rate",VLOOKUP(A171,'IRS Rates'!$A$2:$B$21,2,TRUE)),"")</f>
        <v/>
      </c>
      <c r="H171" s="20">
        <f>IF(AND(ISNUMBER(F171),ISNUMBER(G171)),ROUND(F171*G171,2),"")</f>
        <v/>
      </c>
    </row>
    <row r="172">
      <c r="A172" s="18" t="n"/>
      <c r="F172" s="21" t="n"/>
      <c r="G172" s="22">
        <f>IF(ISNUMBER(A172),IF(A172&lt;MIN('IRS Rates'!$A$2:$A$21),"No rate",VLOOKUP(A172,'IRS Rates'!$A$2:$B$21,2,TRUE)),"")</f>
        <v/>
      </c>
      <c r="H172" s="20">
        <f>IF(AND(ISNUMBER(F172),ISNUMBER(G172)),ROUND(F172*G172,2),"")</f>
        <v/>
      </c>
    </row>
    <row r="173">
      <c r="A173" s="18" t="n"/>
      <c r="F173" s="21" t="n"/>
      <c r="G173" s="22">
        <f>IF(ISNUMBER(A173),IF(A173&lt;MIN('IRS Rates'!$A$2:$A$21),"No rate",VLOOKUP(A173,'IRS Rates'!$A$2:$B$21,2,TRUE)),"")</f>
        <v/>
      </c>
      <c r="H173" s="20">
        <f>IF(AND(ISNUMBER(F173),ISNUMBER(G173)),ROUND(F173*G173,2),"")</f>
        <v/>
      </c>
    </row>
    <row r="174">
      <c r="A174" s="18" t="n"/>
      <c r="F174" s="21" t="n"/>
      <c r="G174" s="22">
        <f>IF(ISNUMBER(A174),IF(A174&lt;MIN('IRS Rates'!$A$2:$A$21),"No rate",VLOOKUP(A174,'IRS Rates'!$A$2:$B$21,2,TRUE)),"")</f>
        <v/>
      </c>
      <c r="H174" s="20">
        <f>IF(AND(ISNUMBER(F174),ISNUMBER(G174)),ROUND(F174*G174,2),"")</f>
        <v/>
      </c>
    </row>
    <row r="175">
      <c r="A175" s="18" t="n"/>
      <c r="F175" s="21" t="n"/>
      <c r="G175" s="22">
        <f>IF(ISNUMBER(A175),IF(A175&lt;MIN('IRS Rates'!$A$2:$A$21),"No rate",VLOOKUP(A175,'IRS Rates'!$A$2:$B$21,2,TRUE)),"")</f>
        <v/>
      </c>
      <c r="H175" s="20">
        <f>IF(AND(ISNUMBER(F175),ISNUMBER(G175)),ROUND(F175*G175,2),"")</f>
        <v/>
      </c>
    </row>
    <row r="176">
      <c r="A176" s="18" t="n"/>
      <c r="F176" s="21" t="n"/>
      <c r="G176" s="22">
        <f>IF(ISNUMBER(A176),IF(A176&lt;MIN('IRS Rates'!$A$2:$A$21),"No rate",VLOOKUP(A176,'IRS Rates'!$A$2:$B$21,2,TRUE)),"")</f>
        <v/>
      </c>
      <c r="H176" s="20">
        <f>IF(AND(ISNUMBER(F176),ISNUMBER(G176)),ROUND(F176*G176,2),"")</f>
        <v/>
      </c>
    </row>
    <row r="177">
      <c r="A177" s="18" t="n"/>
      <c r="F177" s="21" t="n"/>
      <c r="G177" s="22">
        <f>IF(ISNUMBER(A177),IF(A177&lt;MIN('IRS Rates'!$A$2:$A$21),"No rate",VLOOKUP(A177,'IRS Rates'!$A$2:$B$21,2,TRUE)),"")</f>
        <v/>
      </c>
      <c r="H177" s="20">
        <f>IF(AND(ISNUMBER(F177),ISNUMBER(G177)),ROUND(F177*G177,2),"")</f>
        <v/>
      </c>
    </row>
    <row r="178">
      <c r="A178" s="18" t="n"/>
      <c r="F178" s="21" t="n"/>
      <c r="G178" s="22">
        <f>IF(ISNUMBER(A178),IF(A178&lt;MIN('IRS Rates'!$A$2:$A$21),"No rate",VLOOKUP(A178,'IRS Rates'!$A$2:$B$21,2,TRUE)),"")</f>
        <v/>
      </c>
      <c r="H178" s="20">
        <f>IF(AND(ISNUMBER(F178),ISNUMBER(G178)),ROUND(F178*G178,2),"")</f>
        <v/>
      </c>
    </row>
    <row r="179">
      <c r="A179" s="18" t="n"/>
      <c r="F179" s="21" t="n"/>
      <c r="G179" s="22">
        <f>IF(ISNUMBER(A179),IF(A179&lt;MIN('IRS Rates'!$A$2:$A$21),"No rate",VLOOKUP(A179,'IRS Rates'!$A$2:$B$21,2,TRUE)),"")</f>
        <v/>
      </c>
      <c r="H179" s="20">
        <f>IF(AND(ISNUMBER(F179),ISNUMBER(G179)),ROUND(F179*G179,2),"")</f>
        <v/>
      </c>
    </row>
    <row r="180">
      <c r="A180" s="18" t="n"/>
      <c r="F180" s="21" t="n"/>
      <c r="G180" s="22">
        <f>IF(ISNUMBER(A180),IF(A180&lt;MIN('IRS Rates'!$A$2:$A$21),"No rate",VLOOKUP(A180,'IRS Rates'!$A$2:$B$21,2,TRUE)),"")</f>
        <v/>
      </c>
      <c r="H180" s="20">
        <f>IF(AND(ISNUMBER(F180),ISNUMBER(G180)),ROUND(F180*G180,2),"")</f>
        <v/>
      </c>
    </row>
    <row r="181">
      <c r="A181" s="18" t="n"/>
      <c r="F181" s="21" t="n"/>
      <c r="G181" s="22">
        <f>IF(ISNUMBER(A181),IF(A181&lt;MIN('IRS Rates'!$A$2:$A$21),"No rate",VLOOKUP(A181,'IRS Rates'!$A$2:$B$21,2,TRUE)),"")</f>
        <v/>
      </c>
      <c r="H181" s="20">
        <f>IF(AND(ISNUMBER(F181),ISNUMBER(G181)),ROUND(F181*G181,2),"")</f>
        <v/>
      </c>
    </row>
    <row r="182">
      <c r="A182" s="18" t="n"/>
      <c r="F182" s="21" t="n"/>
      <c r="G182" s="22">
        <f>IF(ISNUMBER(A182),IF(A182&lt;MIN('IRS Rates'!$A$2:$A$21),"No rate",VLOOKUP(A182,'IRS Rates'!$A$2:$B$21,2,TRUE)),"")</f>
        <v/>
      </c>
      <c r="H182" s="20">
        <f>IF(AND(ISNUMBER(F182),ISNUMBER(G182)),ROUND(F182*G182,2),"")</f>
        <v/>
      </c>
    </row>
    <row r="183">
      <c r="A183" s="18" t="n"/>
      <c r="F183" s="21" t="n"/>
      <c r="G183" s="22">
        <f>IF(ISNUMBER(A183),IF(A183&lt;MIN('IRS Rates'!$A$2:$A$21),"No rate",VLOOKUP(A183,'IRS Rates'!$A$2:$B$21,2,TRUE)),"")</f>
        <v/>
      </c>
      <c r="H183" s="20">
        <f>IF(AND(ISNUMBER(F183),ISNUMBER(G183)),ROUND(F183*G183,2),"")</f>
        <v/>
      </c>
    </row>
    <row r="184">
      <c r="A184" s="18" t="n"/>
      <c r="F184" s="21" t="n"/>
      <c r="G184" s="22">
        <f>IF(ISNUMBER(A184),IF(A184&lt;MIN('IRS Rates'!$A$2:$A$21),"No rate",VLOOKUP(A184,'IRS Rates'!$A$2:$B$21,2,TRUE)),"")</f>
        <v/>
      </c>
      <c r="H184" s="20">
        <f>IF(AND(ISNUMBER(F184),ISNUMBER(G184)),ROUND(F184*G184,2),"")</f>
        <v/>
      </c>
    </row>
    <row r="185">
      <c r="A185" s="18" t="n"/>
      <c r="F185" s="21" t="n"/>
      <c r="G185" s="22">
        <f>IF(ISNUMBER(A185),IF(A185&lt;MIN('IRS Rates'!$A$2:$A$21),"No rate",VLOOKUP(A185,'IRS Rates'!$A$2:$B$21,2,TRUE)),"")</f>
        <v/>
      </c>
      <c r="H185" s="20">
        <f>IF(AND(ISNUMBER(F185),ISNUMBER(G185)),ROUND(F185*G185,2),"")</f>
        <v/>
      </c>
    </row>
    <row r="186">
      <c r="A186" s="18" t="n"/>
      <c r="F186" s="21" t="n"/>
      <c r="G186" s="22">
        <f>IF(ISNUMBER(A186),IF(A186&lt;MIN('IRS Rates'!$A$2:$A$21),"No rate",VLOOKUP(A186,'IRS Rates'!$A$2:$B$21,2,TRUE)),"")</f>
        <v/>
      </c>
      <c r="H186" s="20">
        <f>IF(AND(ISNUMBER(F186),ISNUMBER(G186)),ROUND(F186*G186,2),"")</f>
        <v/>
      </c>
    </row>
    <row r="187">
      <c r="A187" s="18" t="n"/>
      <c r="F187" s="21" t="n"/>
      <c r="G187" s="22">
        <f>IF(ISNUMBER(A187),IF(A187&lt;MIN('IRS Rates'!$A$2:$A$21),"No rate",VLOOKUP(A187,'IRS Rates'!$A$2:$B$21,2,TRUE)),"")</f>
        <v/>
      </c>
      <c r="H187" s="20">
        <f>IF(AND(ISNUMBER(F187),ISNUMBER(G187)),ROUND(F187*G187,2),"")</f>
        <v/>
      </c>
    </row>
    <row r="188">
      <c r="A188" s="18" t="n"/>
      <c r="F188" s="21" t="n"/>
      <c r="G188" s="22">
        <f>IF(ISNUMBER(A188),IF(A188&lt;MIN('IRS Rates'!$A$2:$A$21),"No rate",VLOOKUP(A188,'IRS Rates'!$A$2:$B$21,2,TRUE)),"")</f>
        <v/>
      </c>
      <c r="H188" s="20">
        <f>IF(AND(ISNUMBER(F188),ISNUMBER(G188)),ROUND(F188*G188,2),"")</f>
        <v/>
      </c>
    </row>
    <row r="189">
      <c r="A189" s="18" t="n"/>
      <c r="F189" s="21" t="n"/>
      <c r="G189" s="22">
        <f>IF(ISNUMBER(A189),IF(A189&lt;MIN('IRS Rates'!$A$2:$A$21),"No rate",VLOOKUP(A189,'IRS Rates'!$A$2:$B$21,2,TRUE)),"")</f>
        <v/>
      </c>
      <c r="H189" s="20">
        <f>IF(AND(ISNUMBER(F189),ISNUMBER(G189)),ROUND(F189*G189,2),"")</f>
        <v/>
      </c>
    </row>
    <row r="190">
      <c r="A190" s="18" t="n"/>
      <c r="F190" s="21" t="n"/>
      <c r="G190" s="22">
        <f>IF(ISNUMBER(A190),IF(A190&lt;MIN('IRS Rates'!$A$2:$A$21),"No rate",VLOOKUP(A190,'IRS Rates'!$A$2:$B$21,2,TRUE)),"")</f>
        <v/>
      </c>
      <c r="H190" s="20">
        <f>IF(AND(ISNUMBER(F190),ISNUMBER(G190)),ROUND(F190*G190,2),"")</f>
        <v/>
      </c>
    </row>
    <row r="191">
      <c r="A191" s="18" t="n"/>
      <c r="F191" s="21" t="n"/>
      <c r="G191" s="22">
        <f>IF(ISNUMBER(A191),IF(A191&lt;MIN('IRS Rates'!$A$2:$A$21),"No rate",VLOOKUP(A191,'IRS Rates'!$A$2:$B$21,2,TRUE)),"")</f>
        <v/>
      </c>
      <c r="H191" s="20">
        <f>IF(AND(ISNUMBER(F191),ISNUMBER(G191)),ROUND(F191*G191,2),"")</f>
        <v/>
      </c>
    </row>
    <row r="192">
      <c r="A192" s="18" t="n"/>
      <c r="F192" s="21" t="n"/>
      <c r="G192" s="22">
        <f>IF(ISNUMBER(A192),IF(A192&lt;MIN('IRS Rates'!$A$2:$A$21),"No rate",VLOOKUP(A192,'IRS Rates'!$A$2:$B$21,2,TRUE)),"")</f>
        <v/>
      </c>
      <c r="H192" s="20">
        <f>IF(AND(ISNUMBER(F192),ISNUMBER(G192)),ROUND(F192*G192,2),"")</f>
        <v/>
      </c>
    </row>
    <row r="193">
      <c r="A193" s="18" t="n"/>
      <c r="F193" s="21" t="n"/>
      <c r="G193" s="22">
        <f>IF(ISNUMBER(A193),IF(A193&lt;MIN('IRS Rates'!$A$2:$A$21),"No rate",VLOOKUP(A193,'IRS Rates'!$A$2:$B$21,2,TRUE)),"")</f>
        <v/>
      </c>
      <c r="H193" s="20">
        <f>IF(AND(ISNUMBER(F193),ISNUMBER(G193)),ROUND(F193*G193,2),"")</f>
        <v/>
      </c>
    </row>
    <row r="194">
      <c r="A194" s="18" t="n"/>
      <c r="F194" s="21" t="n"/>
      <c r="G194" s="22">
        <f>IF(ISNUMBER(A194),IF(A194&lt;MIN('IRS Rates'!$A$2:$A$21),"No rate",VLOOKUP(A194,'IRS Rates'!$A$2:$B$21,2,TRUE)),"")</f>
        <v/>
      </c>
      <c r="H194" s="20">
        <f>IF(AND(ISNUMBER(F194),ISNUMBER(G194)),ROUND(F194*G194,2),"")</f>
        <v/>
      </c>
    </row>
    <row r="195">
      <c r="A195" s="18" t="n"/>
      <c r="F195" s="21" t="n"/>
      <c r="G195" s="22">
        <f>IF(ISNUMBER(A195),IF(A195&lt;MIN('IRS Rates'!$A$2:$A$21),"No rate",VLOOKUP(A195,'IRS Rates'!$A$2:$B$21,2,TRUE)),"")</f>
        <v/>
      </c>
      <c r="H195" s="20">
        <f>IF(AND(ISNUMBER(F195),ISNUMBER(G195)),ROUND(F195*G195,2),"")</f>
        <v/>
      </c>
    </row>
    <row r="196">
      <c r="A196" s="18" t="n"/>
      <c r="F196" s="21" t="n"/>
      <c r="G196" s="22">
        <f>IF(ISNUMBER(A196),IF(A196&lt;MIN('IRS Rates'!$A$2:$A$21),"No rate",VLOOKUP(A196,'IRS Rates'!$A$2:$B$21,2,TRUE)),"")</f>
        <v/>
      </c>
      <c r="H196" s="20">
        <f>IF(AND(ISNUMBER(F196),ISNUMBER(G196)),ROUND(F196*G196,2),"")</f>
        <v/>
      </c>
    </row>
    <row r="197">
      <c r="A197" s="18" t="n"/>
      <c r="F197" s="21" t="n"/>
      <c r="G197" s="22">
        <f>IF(ISNUMBER(A197),IF(A197&lt;MIN('IRS Rates'!$A$2:$A$21),"No rate",VLOOKUP(A197,'IRS Rates'!$A$2:$B$21,2,TRUE)),"")</f>
        <v/>
      </c>
      <c r="H197" s="20">
        <f>IF(AND(ISNUMBER(F197),ISNUMBER(G197)),ROUND(F197*G197,2),"")</f>
        <v/>
      </c>
    </row>
    <row r="198">
      <c r="A198" s="18" t="n"/>
      <c r="F198" s="21" t="n"/>
      <c r="G198" s="22">
        <f>IF(ISNUMBER(A198),IF(A198&lt;MIN('IRS Rates'!$A$2:$A$21),"No rate",VLOOKUP(A198,'IRS Rates'!$A$2:$B$21,2,TRUE)),"")</f>
        <v/>
      </c>
      <c r="H198" s="20">
        <f>IF(AND(ISNUMBER(F198),ISNUMBER(G198)),ROUND(F198*G198,2),"")</f>
        <v/>
      </c>
    </row>
    <row r="199">
      <c r="A199" s="18" t="n"/>
      <c r="F199" s="21" t="n"/>
      <c r="G199" s="22">
        <f>IF(ISNUMBER(A199),IF(A199&lt;MIN('IRS Rates'!$A$2:$A$21),"No rate",VLOOKUP(A199,'IRS Rates'!$A$2:$B$21,2,TRUE)),"")</f>
        <v/>
      </c>
      <c r="H199" s="20">
        <f>IF(AND(ISNUMBER(F199),ISNUMBER(G199)),ROUND(F199*G199,2),"")</f>
        <v/>
      </c>
    </row>
    <row r="200">
      <c r="A200" s="18" t="n"/>
      <c r="F200" s="21" t="n"/>
      <c r="G200" s="22">
        <f>IF(ISNUMBER(A200),IF(A200&lt;MIN('IRS Rates'!$A$2:$A$21),"No rate",VLOOKUP(A200,'IRS Rates'!$A$2:$B$21,2,TRUE)),"")</f>
        <v/>
      </c>
      <c r="H200" s="20">
        <f>IF(AND(ISNUMBER(F200),ISNUMBER(G200)),ROUND(F200*G200,2),"")</f>
        <v/>
      </c>
    </row>
    <row r="201">
      <c r="A201" s="18" t="n"/>
      <c r="F201" s="21" t="n"/>
      <c r="G201" s="22">
        <f>IF(ISNUMBER(A201),IF(A201&lt;MIN('IRS Rates'!$A$2:$A$21),"No rate",VLOOKUP(A201,'IRS Rates'!$A$2:$B$21,2,TRUE)),"")</f>
        <v/>
      </c>
      <c r="H201" s="20">
        <f>IF(AND(ISNUMBER(F201),ISNUMBER(G201)),ROUND(F201*G201,2),"")</f>
        <v/>
      </c>
    </row>
    <row r="202">
      <c r="A202" s="18" t="n"/>
      <c r="F202" s="21" t="n"/>
      <c r="G202" s="22">
        <f>IF(ISNUMBER(A202),IF(A202&lt;MIN('IRS Rates'!$A$2:$A$21),"No rate",VLOOKUP(A202,'IRS Rates'!$A$2:$B$21,2,TRUE)),"")</f>
        <v/>
      </c>
      <c r="H202" s="20">
        <f>IF(AND(ISNUMBER(F202),ISNUMBER(G202)),ROUND(F202*G202,2),"")</f>
        <v/>
      </c>
    </row>
    <row r="203">
      <c r="A203" s="18" t="n"/>
      <c r="F203" s="21" t="n"/>
      <c r="G203" s="22">
        <f>IF(ISNUMBER(A203),IF(A203&lt;MIN('IRS Rates'!$A$2:$A$21),"No rate",VLOOKUP(A203,'IRS Rates'!$A$2:$B$21,2,TRUE)),"")</f>
        <v/>
      </c>
      <c r="H203" s="20">
        <f>IF(AND(ISNUMBER(F203),ISNUMBER(G203)),ROUND(F203*G203,2),"")</f>
        <v/>
      </c>
    </row>
    <row r="204">
      <c r="A204" s="18" t="n"/>
      <c r="F204" s="21" t="n"/>
      <c r="G204" s="22">
        <f>IF(ISNUMBER(A204),IF(A204&lt;MIN('IRS Rates'!$A$2:$A$21),"No rate",VLOOKUP(A204,'IRS Rates'!$A$2:$B$21,2,TRUE)),"")</f>
        <v/>
      </c>
      <c r="H204" s="20">
        <f>IF(AND(ISNUMBER(F204),ISNUMBER(G204)),ROUND(F204*G204,2),"")</f>
        <v/>
      </c>
    </row>
    <row r="205">
      <c r="A205" s="18" t="n"/>
      <c r="F205" s="21" t="n"/>
      <c r="G205" s="22">
        <f>IF(ISNUMBER(A205),IF(A205&lt;MIN('IRS Rates'!$A$2:$A$21),"No rate",VLOOKUP(A205,'IRS Rates'!$A$2:$B$21,2,TRUE)),"")</f>
        <v/>
      </c>
      <c r="H205" s="20">
        <f>IF(AND(ISNUMBER(F205),ISNUMBER(G205)),ROUND(F205*G205,2),"")</f>
        <v/>
      </c>
    </row>
    <row r="206">
      <c r="A206" s="18" t="n"/>
      <c r="F206" s="21" t="n"/>
      <c r="G206" s="22">
        <f>IF(ISNUMBER(A206),IF(A206&lt;MIN('IRS Rates'!$A$2:$A$21),"No rate",VLOOKUP(A206,'IRS Rates'!$A$2:$B$21,2,TRUE)),"")</f>
        <v/>
      </c>
      <c r="H206" s="20">
        <f>IF(AND(ISNUMBER(F206),ISNUMBER(G206)),ROUND(F206*G206,2),"")</f>
        <v/>
      </c>
    </row>
    <row r="207">
      <c r="A207" s="18" t="n"/>
      <c r="F207" s="21" t="n"/>
      <c r="G207" s="22">
        <f>IF(ISNUMBER(A207),IF(A207&lt;MIN('IRS Rates'!$A$2:$A$21),"No rate",VLOOKUP(A207,'IRS Rates'!$A$2:$B$21,2,TRUE)),"")</f>
        <v/>
      </c>
      <c r="H207" s="20">
        <f>IF(AND(ISNUMBER(F207),ISNUMBER(G207)),ROUND(F207*G207,2),"")</f>
        <v/>
      </c>
    </row>
    <row r="208">
      <c r="A208" s="18" t="n"/>
      <c r="F208" s="21" t="n"/>
      <c r="G208" s="22">
        <f>IF(ISNUMBER(A208),IF(A208&lt;MIN('IRS Rates'!$A$2:$A$21),"No rate",VLOOKUP(A208,'IRS Rates'!$A$2:$B$21,2,TRUE)),"")</f>
        <v/>
      </c>
      <c r="H208" s="20">
        <f>IF(AND(ISNUMBER(F208),ISNUMBER(G208)),ROUND(F208*G208,2),"")</f>
        <v/>
      </c>
    </row>
    <row r="209">
      <c r="A209" s="18" t="n"/>
      <c r="F209" s="21" t="n"/>
      <c r="G209" s="22">
        <f>IF(ISNUMBER(A209),IF(A209&lt;MIN('IRS Rates'!$A$2:$A$21),"No rate",VLOOKUP(A209,'IRS Rates'!$A$2:$B$21,2,TRUE)),"")</f>
        <v/>
      </c>
      <c r="H209" s="20">
        <f>IF(AND(ISNUMBER(F209),ISNUMBER(G209)),ROUND(F209*G209,2),"")</f>
        <v/>
      </c>
    </row>
    <row r="210">
      <c r="A210" s="18" t="n"/>
      <c r="F210" s="21" t="n"/>
      <c r="G210" s="22">
        <f>IF(ISNUMBER(A210),IF(A210&lt;MIN('IRS Rates'!$A$2:$A$21),"No rate",VLOOKUP(A210,'IRS Rates'!$A$2:$B$21,2,TRUE)),"")</f>
        <v/>
      </c>
      <c r="H210" s="20">
        <f>IF(AND(ISNUMBER(F210),ISNUMBER(G210)),ROUND(F210*G210,2),"")</f>
        <v/>
      </c>
    </row>
    <row r="211">
      <c r="A211" s="18" t="n"/>
      <c r="F211" s="21" t="n"/>
      <c r="G211" s="22">
        <f>IF(ISNUMBER(A211),IF(A211&lt;MIN('IRS Rates'!$A$2:$A$21),"No rate",VLOOKUP(A211,'IRS Rates'!$A$2:$B$21,2,TRUE)),"")</f>
        <v/>
      </c>
      <c r="H211" s="20">
        <f>IF(AND(ISNUMBER(F211),ISNUMBER(G211)),ROUND(F211*G211,2),"")</f>
        <v/>
      </c>
    </row>
    <row r="212">
      <c r="A212" s="18" t="n"/>
      <c r="F212" s="21" t="n"/>
      <c r="G212" s="22">
        <f>IF(ISNUMBER(A212),IF(A212&lt;MIN('IRS Rates'!$A$2:$A$21),"No rate",VLOOKUP(A212,'IRS Rates'!$A$2:$B$21,2,TRUE)),"")</f>
        <v/>
      </c>
      <c r="H212" s="20">
        <f>IF(AND(ISNUMBER(F212),ISNUMBER(G212)),ROUND(F212*G212,2),"")</f>
        <v/>
      </c>
    </row>
    <row r="213">
      <c r="A213" s="18" t="n"/>
      <c r="F213" s="21" t="n"/>
      <c r="G213" s="22">
        <f>IF(ISNUMBER(A213),IF(A213&lt;MIN('IRS Rates'!$A$2:$A$21),"No rate",VLOOKUP(A213,'IRS Rates'!$A$2:$B$21,2,TRUE)),"")</f>
        <v/>
      </c>
      <c r="H213" s="20">
        <f>IF(AND(ISNUMBER(F213),ISNUMBER(G213)),ROUND(F213*G213,2),"")</f>
        <v/>
      </c>
    </row>
    <row r="214">
      <c r="A214" s="18" t="n"/>
      <c r="F214" s="21" t="n"/>
      <c r="G214" s="22">
        <f>IF(ISNUMBER(A214),IF(A214&lt;MIN('IRS Rates'!$A$2:$A$21),"No rate",VLOOKUP(A214,'IRS Rates'!$A$2:$B$21,2,TRUE)),"")</f>
        <v/>
      </c>
      <c r="H214" s="20">
        <f>IF(AND(ISNUMBER(F214),ISNUMBER(G214)),ROUND(F214*G214,2),"")</f>
        <v/>
      </c>
    </row>
    <row r="215">
      <c r="A215" s="18" t="n"/>
      <c r="F215" s="21" t="n"/>
      <c r="G215" s="22">
        <f>IF(ISNUMBER(A215),IF(A215&lt;MIN('IRS Rates'!$A$2:$A$21),"No rate",VLOOKUP(A215,'IRS Rates'!$A$2:$B$21,2,TRUE)),"")</f>
        <v/>
      </c>
      <c r="H215" s="20">
        <f>IF(AND(ISNUMBER(F215),ISNUMBER(G215)),ROUND(F215*G215,2),"")</f>
        <v/>
      </c>
    </row>
    <row r="216">
      <c r="A216" s="18" t="n"/>
      <c r="F216" s="21" t="n"/>
      <c r="G216" s="22">
        <f>IF(ISNUMBER(A216),IF(A216&lt;MIN('IRS Rates'!$A$2:$A$21),"No rate",VLOOKUP(A216,'IRS Rates'!$A$2:$B$21,2,TRUE)),"")</f>
        <v/>
      </c>
      <c r="H216" s="20">
        <f>IF(AND(ISNUMBER(F216),ISNUMBER(G216)),ROUND(F216*G216,2),"")</f>
        <v/>
      </c>
    </row>
    <row r="217">
      <c r="A217" s="18" t="n"/>
      <c r="F217" s="21" t="n"/>
      <c r="G217" s="22">
        <f>IF(ISNUMBER(A217),IF(A217&lt;MIN('IRS Rates'!$A$2:$A$21),"No rate",VLOOKUP(A217,'IRS Rates'!$A$2:$B$21,2,TRUE)),"")</f>
        <v/>
      </c>
      <c r="H217" s="20">
        <f>IF(AND(ISNUMBER(F217),ISNUMBER(G217)),ROUND(F217*G217,2),"")</f>
        <v/>
      </c>
    </row>
    <row r="218">
      <c r="A218" s="18" t="n"/>
      <c r="F218" s="21" t="n"/>
      <c r="G218" s="22">
        <f>IF(ISNUMBER(A218),IF(A218&lt;MIN('IRS Rates'!$A$2:$A$21),"No rate",VLOOKUP(A218,'IRS Rates'!$A$2:$B$21,2,TRUE)),"")</f>
        <v/>
      </c>
      <c r="H218" s="20">
        <f>IF(AND(ISNUMBER(F218),ISNUMBER(G218)),ROUND(F218*G218,2),"")</f>
        <v/>
      </c>
    </row>
    <row r="219">
      <c r="A219" s="18" t="n"/>
      <c r="F219" s="21" t="n"/>
      <c r="G219" s="22">
        <f>IF(ISNUMBER(A219),IF(A219&lt;MIN('IRS Rates'!$A$2:$A$21),"No rate",VLOOKUP(A219,'IRS Rates'!$A$2:$B$21,2,TRUE)),"")</f>
        <v/>
      </c>
      <c r="H219" s="20">
        <f>IF(AND(ISNUMBER(F219),ISNUMBER(G219)),ROUND(F219*G219,2),"")</f>
        <v/>
      </c>
    </row>
    <row r="220">
      <c r="A220" s="18" t="n"/>
      <c r="F220" s="21" t="n"/>
      <c r="G220" s="22">
        <f>IF(ISNUMBER(A220),IF(A220&lt;MIN('IRS Rates'!$A$2:$A$21),"No rate",VLOOKUP(A220,'IRS Rates'!$A$2:$B$21,2,TRUE)),"")</f>
        <v/>
      </c>
      <c r="H220" s="20">
        <f>IF(AND(ISNUMBER(F220),ISNUMBER(G220)),ROUND(F220*G220,2),"")</f>
        <v/>
      </c>
    </row>
    <row r="221">
      <c r="A221" s="18" t="n"/>
      <c r="F221" s="21" t="n"/>
      <c r="G221" s="22">
        <f>IF(ISNUMBER(A221),IF(A221&lt;MIN('IRS Rates'!$A$2:$A$21),"No rate",VLOOKUP(A221,'IRS Rates'!$A$2:$B$21,2,TRUE)),"")</f>
        <v/>
      </c>
      <c r="H221" s="20">
        <f>IF(AND(ISNUMBER(F221),ISNUMBER(G221)),ROUND(F221*G221,2),"")</f>
        <v/>
      </c>
    </row>
    <row r="222">
      <c r="A222" s="18" t="n"/>
      <c r="F222" s="21" t="n"/>
      <c r="G222" s="22">
        <f>IF(ISNUMBER(A222),IF(A222&lt;MIN('IRS Rates'!$A$2:$A$21),"No rate",VLOOKUP(A222,'IRS Rates'!$A$2:$B$21,2,TRUE)),"")</f>
        <v/>
      </c>
      <c r="H222" s="20">
        <f>IF(AND(ISNUMBER(F222),ISNUMBER(G222)),ROUND(F222*G222,2),"")</f>
        <v/>
      </c>
    </row>
    <row r="223">
      <c r="A223" s="18" t="n"/>
      <c r="F223" s="21" t="n"/>
      <c r="G223" s="22">
        <f>IF(ISNUMBER(A223),IF(A223&lt;MIN('IRS Rates'!$A$2:$A$21),"No rate",VLOOKUP(A223,'IRS Rates'!$A$2:$B$21,2,TRUE)),"")</f>
        <v/>
      </c>
      <c r="H223" s="20">
        <f>IF(AND(ISNUMBER(F223),ISNUMBER(G223)),ROUND(F223*G223,2),"")</f>
        <v/>
      </c>
    </row>
    <row r="224">
      <c r="A224" s="18" t="n"/>
      <c r="F224" s="21" t="n"/>
      <c r="G224" s="22">
        <f>IF(ISNUMBER(A224),IF(A224&lt;MIN('IRS Rates'!$A$2:$A$21),"No rate",VLOOKUP(A224,'IRS Rates'!$A$2:$B$21,2,TRUE)),"")</f>
        <v/>
      </c>
      <c r="H224" s="20">
        <f>IF(AND(ISNUMBER(F224),ISNUMBER(G224)),ROUND(F224*G224,2),"")</f>
        <v/>
      </c>
    </row>
    <row r="225">
      <c r="A225" s="18" t="n"/>
      <c r="F225" s="21" t="n"/>
      <c r="G225" s="22">
        <f>IF(ISNUMBER(A225),IF(A225&lt;MIN('IRS Rates'!$A$2:$A$21),"No rate",VLOOKUP(A225,'IRS Rates'!$A$2:$B$21,2,TRUE)),"")</f>
        <v/>
      </c>
      <c r="H225" s="20">
        <f>IF(AND(ISNUMBER(F225),ISNUMBER(G225)),ROUND(F225*G225,2),"")</f>
        <v/>
      </c>
    </row>
    <row r="226">
      <c r="A226" s="18" t="n"/>
      <c r="F226" s="21" t="n"/>
      <c r="G226" s="22">
        <f>IF(ISNUMBER(A226),IF(A226&lt;MIN('IRS Rates'!$A$2:$A$21),"No rate",VLOOKUP(A226,'IRS Rates'!$A$2:$B$21,2,TRUE)),"")</f>
        <v/>
      </c>
      <c r="H226" s="20">
        <f>IF(AND(ISNUMBER(F226),ISNUMBER(G226)),ROUND(F226*G226,2),"")</f>
        <v/>
      </c>
    </row>
    <row r="227">
      <c r="A227" s="18" t="n"/>
      <c r="F227" s="21" t="n"/>
      <c r="G227" s="22">
        <f>IF(ISNUMBER(A227),IF(A227&lt;MIN('IRS Rates'!$A$2:$A$21),"No rate",VLOOKUP(A227,'IRS Rates'!$A$2:$B$21,2,TRUE)),"")</f>
        <v/>
      </c>
      <c r="H227" s="20">
        <f>IF(AND(ISNUMBER(F227),ISNUMBER(G227)),ROUND(F227*G227,2),"")</f>
        <v/>
      </c>
    </row>
    <row r="228">
      <c r="A228" s="18" t="n"/>
      <c r="F228" s="21" t="n"/>
      <c r="G228" s="22">
        <f>IF(ISNUMBER(A228),IF(A228&lt;MIN('IRS Rates'!$A$2:$A$21),"No rate",VLOOKUP(A228,'IRS Rates'!$A$2:$B$21,2,TRUE)),"")</f>
        <v/>
      </c>
      <c r="H228" s="20">
        <f>IF(AND(ISNUMBER(F228),ISNUMBER(G228)),ROUND(F228*G228,2),"")</f>
        <v/>
      </c>
    </row>
    <row r="229">
      <c r="A229" s="18" t="n"/>
      <c r="F229" s="21" t="n"/>
      <c r="G229" s="22">
        <f>IF(ISNUMBER(A229),IF(A229&lt;MIN('IRS Rates'!$A$2:$A$21),"No rate",VLOOKUP(A229,'IRS Rates'!$A$2:$B$21,2,TRUE)),"")</f>
        <v/>
      </c>
      <c r="H229" s="20">
        <f>IF(AND(ISNUMBER(F229),ISNUMBER(G229)),ROUND(F229*G229,2),"")</f>
        <v/>
      </c>
    </row>
    <row r="230">
      <c r="A230" s="18" t="n"/>
      <c r="F230" s="21" t="n"/>
      <c r="G230" s="22">
        <f>IF(ISNUMBER(A230),IF(A230&lt;MIN('IRS Rates'!$A$2:$A$21),"No rate",VLOOKUP(A230,'IRS Rates'!$A$2:$B$21,2,TRUE)),"")</f>
        <v/>
      </c>
      <c r="H230" s="20">
        <f>IF(AND(ISNUMBER(F230),ISNUMBER(G230)),ROUND(F230*G230,2),"")</f>
        <v/>
      </c>
    </row>
    <row r="231">
      <c r="A231" s="18" t="n"/>
      <c r="F231" s="21" t="n"/>
      <c r="G231" s="22">
        <f>IF(ISNUMBER(A231),IF(A231&lt;MIN('IRS Rates'!$A$2:$A$21),"No rate",VLOOKUP(A231,'IRS Rates'!$A$2:$B$21,2,TRUE)),"")</f>
        <v/>
      </c>
      <c r="H231" s="20">
        <f>IF(AND(ISNUMBER(F231),ISNUMBER(G231)),ROUND(F231*G231,2),"")</f>
        <v/>
      </c>
    </row>
    <row r="232">
      <c r="A232" s="18" t="n"/>
      <c r="F232" s="21" t="n"/>
      <c r="G232" s="22">
        <f>IF(ISNUMBER(A232),IF(A232&lt;MIN('IRS Rates'!$A$2:$A$21),"No rate",VLOOKUP(A232,'IRS Rates'!$A$2:$B$21,2,TRUE)),"")</f>
        <v/>
      </c>
      <c r="H232" s="20">
        <f>IF(AND(ISNUMBER(F232),ISNUMBER(G232)),ROUND(F232*G232,2),"")</f>
        <v/>
      </c>
    </row>
    <row r="233">
      <c r="A233" s="18" t="n"/>
      <c r="F233" s="21" t="n"/>
      <c r="G233" s="22">
        <f>IF(ISNUMBER(A233),IF(A233&lt;MIN('IRS Rates'!$A$2:$A$21),"No rate",VLOOKUP(A233,'IRS Rates'!$A$2:$B$21,2,TRUE)),"")</f>
        <v/>
      </c>
      <c r="H233" s="20">
        <f>IF(AND(ISNUMBER(F233),ISNUMBER(G233)),ROUND(F233*G233,2),"")</f>
        <v/>
      </c>
    </row>
    <row r="234">
      <c r="A234" s="18" t="n"/>
      <c r="F234" s="21" t="n"/>
      <c r="G234" s="22">
        <f>IF(ISNUMBER(A234),IF(A234&lt;MIN('IRS Rates'!$A$2:$A$21),"No rate",VLOOKUP(A234,'IRS Rates'!$A$2:$B$21,2,TRUE)),"")</f>
        <v/>
      </c>
      <c r="H234" s="20">
        <f>IF(AND(ISNUMBER(F234),ISNUMBER(G234)),ROUND(F234*G234,2),"")</f>
        <v/>
      </c>
    </row>
    <row r="235">
      <c r="A235" s="18" t="n"/>
      <c r="F235" s="21" t="n"/>
      <c r="G235" s="22">
        <f>IF(ISNUMBER(A235),IF(A235&lt;MIN('IRS Rates'!$A$2:$A$21),"No rate",VLOOKUP(A235,'IRS Rates'!$A$2:$B$21,2,TRUE)),"")</f>
        <v/>
      </c>
      <c r="H235" s="20">
        <f>IF(AND(ISNUMBER(F235),ISNUMBER(G235)),ROUND(F235*G235,2),"")</f>
        <v/>
      </c>
    </row>
    <row r="236">
      <c r="A236" s="18" t="n"/>
      <c r="F236" s="21" t="n"/>
      <c r="G236" s="22">
        <f>IF(ISNUMBER(A236),IF(A236&lt;MIN('IRS Rates'!$A$2:$A$21),"No rate",VLOOKUP(A236,'IRS Rates'!$A$2:$B$21,2,TRUE)),"")</f>
        <v/>
      </c>
      <c r="H236" s="20">
        <f>IF(AND(ISNUMBER(F236),ISNUMBER(G236)),ROUND(F236*G236,2),"")</f>
        <v/>
      </c>
    </row>
    <row r="237">
      <c r="A237" s="18" t="n"/>
      <c r="F237" s="21" t="n"/>
      <c r="G237" s="22">
        <f>IF(ISNUMBER(A237),IF(A237&lt;MIN('IRS Rates'!$A$2:$A$21),"No rate",VLOOKUP(A237,'IRS Rates'!$A$2:$B$21,2,TRUE)),"")</f>
        <v/>
      </c>
      <c r="H237" s="20">
        <f>IF(AND(ISNUMBER(F237),ISNUMBER(G237)),ROUND(F237*G237,2),"")</f>
        <v/>
      </c>
    </row>
    <row r="238">
      <c r="A238" s="18" t="n"/>
      <c r="F238" s="21" t="n"/>
      <c r="G238" s="22">
        <f>IF(ISNUMBER(A238),IF(A238&lt;MIN('IRS Rates'!$A$2:$A$21),"No rate",VLOOKUP(A238,'IRS Rates'!$A$2:$B$21,2,TRUE)),"")</f>
        <v/>
      </c>
      <c r="H238" s="20">
        <f>IF(AND(ISNUMBER(F238),ISNUMBER(G238)),ROUND(F238*G238,2),"")</f>
        <v/>
      </c>
    </row>
    <row r="239">
      <c r="A239" s="18" t="n"/>
      <c r="F239" s="21" t="n"/>
      <c r="G239" s="22">
        <f>IF(ISNUMBER(A239),IF(A239&lt;MIN('IRS Rates'!$A$2:$A$21),"No rate",VLOOKUP(A239,'IRS Rates'!$A$2:$B$21,2,TRUE)),"")</f>
        <v/>
      </c>
      <c r="H239" s="20">
        <f>IF(AND(ISNUMBER(F239),ISNUMBER(G239)),ROUND(F239*G239,2),"")</f>
        <v/>
      </c>
    </row>
    <row r="240">
      <c r="A240" s="18" t="n"/>
      <c r="F240" s="21" t="n"/>
      <c r="G240" s="22">
        <f>IF(ISNUMBER(A240),IF(A240&lt;MIN('IRS Rates'!$A$2:$A$21),"No rate",VLOOKUP(A240,'IRS Rates'!$A$2:$B$21,2,TRUE)),"")</f>
        <v/>
      </c>
      <c r="H240" s="20">
        <f>IF(AND(ISNUMBER(F240),ISNUMBER(G240)),ROUND(F240*G240,2),"")</f>
        <v/>
      </c>
    </row>
    <row r="241">
      <c r="A241" s="18" t="n"/>
      <c r="F241" s="21" t="n"/>
      <c r="G241" s="22">
        <f>IF(ISNUMBER(A241),IF(A241&lt;MIN('IRS Rates'!$A$2:$A$21),"No rate",VLOOKUP(A241,'IRS Rates'!$A$2:$B$21,2,TRUE)),"")</f>
        <v/>
      </c>
      <c r="H241" s="20">
        <f>IF(AND(ISNUMBER(F241),ISNUMBER(G241)),ROUND(F241*G241,2),"")</f>
        <v/>
      </c>
    </row>
    <row r="242">
      <c r="A242" s="18" t="n"/>
      <c r="F242" s="21" t="n"/>
      <c r="G242" s="22">
        <f>IF(ISNUMBER(A242),IF(A242&lt;MIN('IRS Rates'!$A$2:$A$21),"No rate",VLOOKUP(A242,'IRS Rates'!$A$2:$B$21,2,TRUE)),"")</f>
        <v/>
      </c>
      <c r="H242" s="20">
        <f>IF(AND(ISNUMBER(F242),ISNUMBER(G242)),ROUND(F242*G242,2),"")</f>
        <v/>
      </c>
    </row>
    <row r="243">
      <c r="A243" s="18" t="n"/>
      <c r="F243" s="21" t="n"/>
      <c r="G243" s="22">
        <f>IF(ISNUMBER(A243),IF(A243&lt;MIN('IRS Rates'!$A$2:$A$21),"No rate",VLOOKUP(A243,'IRS Rates'!$A$2:$B$21,2,TRUE)),"")</f>
        <v/>
      </c>
      <c r="H243" s="20">
        <f>IF(AND(ISNUMBER(F243),ISNUMBER(G243)),ROUND(F243*G243,2),"")</f>
        <v/>
      </c>
    </row>
    <row r="244">
      <c r="A244" s="18" t="n"/>
      <c r="F244" s="21" t="n"/>
      <c r="G244" s="22">
        <f>IF(ISNUMBER(A244),IF(A244&lt;MIN('IRS Rates'!$A$2:$A$21),"No rate",VLOOKUP(A244,'IRS Rates'!$A$2:$B$21,2,TRUE)),"")</f>
        <v/>
      </c>
      <c r="H244" s="20">
        <f>IF(AND(ISNUMBER(F244),ISNUMBER(G244)),ROUND(F244*G244,2),"")</f>
        <v/>
      </c>
    </row>
    <row r="245">
      <c r="A245" s="18" t="n"/>
      <c r="F245" s="21" t="n"/>
      <c r="G245" s="22">
        <f>IF(ISNUMBER(A245),IF(A245&lt;MIN('IRS Rates'!$A$2:$A$21),"No rate",VLOOKUP(A245,'IRS Rates'!$A$2:$B$21,2,TRUE)),"")</f>
        <v/>
      </c>
      <c r="H245" s="20">
        <f>IF(AND(ISNUMBER(F245),ISNUMBER(G245)),ROUND(F245*G245,2),"")</f>
        <v/>
      </c>
    </row>
    <row r="246">
      <c r="A246" s="18" t="n"/>
      <c r="F246" s="21" t="n"/>
      <c r="G246" s="22">
        <f>IF(ISNUMBER(A246),IF(A246&lt;MIN('IRS Rates'!$A$2:$A$21),"No rate",VLOOKUP(A246,'IRS Rates'!$A$2:$B$21,2,TRUE)),"")</f>
        <v/>
      </c>
      <c r="H246" s="20">
        <f>IF(AND(ISNUMBER(F246),ISNUMBER(G246)),ROUND(F246*G246,2),"")</f>
        <v/>
      </c>
    </row>
    <row r="247">
      <c r="A247" s="18" t="n"/>
      <c r="F247" s="21" t="n"/>
      <c r="G247" s="22">
        <f>IF(ISNUMBER(A247),IF(A247&lt;MIN('IRS Rates'!$A$2:$A$21),"No rate",VLOOKUP(A247,'IRS Rates'!$A$2:$B$21,2,TRUE)),"")</f>
        <v/>
      </c>
      <c r="H247" s="20">
        <f>IF(AND(ISNUMBER(F247),ISNUMBER(G247)),ROUND(F247*G247,2),"")</f>
        <v/>
      </c>
    </row>
    <row r="248">
      <c r="A248" s="18" t="n"/>
      <c r="F248" s="21" t="n"/>
      <c r="G248" s="22">
        <f>IF(ISNUMBER(A248),IF(A248&lt;MIN('IRS Rates'!$A$2:$A$21),"No rate",VLOOKUP(A248,'IRS Rates'!$A$2:$B$21,2,TRUE)),"")</f>
        <v/>
      </c>
      <c r="H248" s="20">
        <f>IF(AND(ISNUMBER(F248),ISNUMBER(G248)),ROUND(F248*G248,2),"")</f>
        <v/>
      </c>
    </row>
    <row r="249">
      <c r="A249" s="18" t="n"/>
      <c r="F249" s="21" t="n"/>
      <c r="G249" s="22">
        <f>IF(ISNUMBER(A249),IF(A249&lt;MIN('IRS Rates'!$A$2:$A$21),"No rate",VLOOKUP(A249,'IRS Rates'!$A$2:$B$21,2,TRUE)),"")</f>
        <v/>
      </c>
      <c r="H249" s="20">
        <f>IF(AND(ISNUMBER(F249),ISNUMBER(G249)),ROUND(F249*G249,2),"")</f>
        <v/>
      </c>
    </row>
    <row r="250">
      <c r="A250" s="18" t="n"/>
      <c r="F250" s="21" t="n"/>
      <c r="G250" s="22">
        <f>IF(ISNUMBER(A250),IF(A250&lt;MIN('IRS Rates'!$A$2:$A$21),"No rate",VLOOKUP(A250,'IRS Rates'!$A$2:$B$21,2,TRUE)),"")</f>
        <v/>
      </c>
      <c r="H250" s="20">
        <f>IF(AND(ISNUMBER(F250),ISNUMBER(G250)),ROUND(F250*G250,2),"")</f>
        <v/>
      </c>
    </row>
    <row r="251">
      <c r="A251" s="18" t="n"/>
      <c r="F251" s="21" t="n"/>
      <c r="G251" s="22">
        <f>IF(ISNUMBER(A251),IF(A251&lt;MIN('IRS Rates'!$A$2:$A$21),"No rate",VLOOKUP(A251,'IRS Rates'!$A$2:$B$21,2,TRUE)),"")</f>
        <v/>
      </c>
      <c r="H251" s="20">
        <f>IF(AND(ISNUMBER(F251),ISNUMBER(G251)),ROUND(F251*G251,2),"")</f>
        <v/>
      </c>
    </row>
    <row r="252">
      <c r="A252" s="18" t="n"/>
      <c r="F252" s="21" t="n"/>
      <c r="G252" s="22">
        <f>IF(ISNUMBER(A252),IF(A252&lt;MIN('IRS Rates'!$A$2:$A$21),"No rate",VLOOKUP(A252,'IRS Rates'!$A$2:$B$21,2,TRUE)),"")</f>
        <v/>
      </c>
      <c r="H252" s="20">
        <f>IF(AND(ISNUMBER(F252),ISNUMBER(G252)),ROUND(F252*G252,2),"")</f>
        <v/>
      </c>
    </row>
    <row r="253">
      <c r="A253" s="18" t="n"/>
      <c r="F253" s="21" t="n"/>
      <c r="G253" s="22">
        <f>IF(ISNUMBER(A253),IF(A253&lt;MIN('IRS Rates'!$A$2:$A$21),"No rate",VLOOKUP(A253,'IRS Rates'!$A$2:$B$21,2,TRUE)),"")</f>
        <v/>
      </c>
      <c r="H253" s="20">
        <f>IF(AND(ISNUMBER(F253),ISNUMBER(G253)),ROUND(F253*G253,2),"")</f>
        <v/>
      </c>
    </row>
    <row r="254">
      <c r="A254" s="18" t="n"/>
      <c r="F254" s="21" t="n"/>
      <c r="G254" s="22">
        <f>IF(ISNUMBER(A254),IF(A254&lt;MIN('IRS Rates'!$A$2:$A$21),"No rate",VLOOKUP(A254,'IRS Rates'!$A$2:$B$21,2,TRUE)),"")</f>
        <v/>
      </c>
      <c r="H254" s="20">
        <f>IF(AND(ISNUMBER(F254),ISNUMBER(G254)),ROUND(F254*G254,2),"")</f>
        <v/>
      </c>
    </row>
    <row r="255">
      <c r="A255" s="18" t="n"/>
      <c r="F255" s="21" t="n"/>
      <c r="G255" s="22">
        <f>IF(ISNUMBER(A255),IF(A255&lt;MIN('IRS Rates'!$A$2:$A$21),"No rate",VLOOKUP(A255,'IRS Rates'!$A$2:$B$21,2,TRUE)),"")</f>
        <v/>
      </c>
      <c r="H255" s="20">
        <f>IF(AND(ISNUMBER(F255),ISNUMBER(G255)),ROUND(F255*G255,2),"")</f>
        <v/>
      </c>
    </row>
    <row r="256">
      <c r="A256" s="18" t="n"/>
      <c r="F256" s="21" t="n"/>
      <c r="G256" s="22">
        <f>IF(ISNUMBER(A256),IF(A256&lt;MIN('IRS Rates'!$A$2:$A$21),"No rate",VLOOKUP(A256,'IRS Rates'!$A$2:$B$21,2,TRUE)),"")</f>
        <v/>
      </c>
      <c r="H256" s="20">
        <f>IF(AND(ISNUMBER(F256),ISNUMBER(G256)),ROUND(F256*G256,2),"")</f>
        <v/>
      </c>
    </row>
    <row r="257">
      <c r="A257" s="18" t="n"/>
      <c r="F257" s="21" t="n"/>
      <c r="G257" s="22">
        <f>IF(ISNUMBER(A257),IF(A257&lt;MIN('IRS Rates'!$A$2:$A$21),"No rate",VLOOKUP(A257,'IRS Rates'!$A$2:$B$21,2,TRUE)),"")</f>
        <v/>
      </c>
      <c r="H257" s="20">
        <f>IF(AND(ISNUMBER(F257),ISNUMBER(G257)),ROUND(F257*G257,2),"")</f>
        <v/>
      </c>
    </row>
    <row r="258">
      <c r="A258" s="18" t="n"/>
      <c r="F258" s="21" t="n"/>
      <c r="G258" s="22">
        <f>IF(ISNUMBER(A258),IF(A258&lt;MIN('IRS Rates'!$A$2:$A$21),"No rate",VLOOKUP(A258,'IRS Rates'!$A$2:$B$21,2,TRUE)),"")</f>
        <v/>
      </c>
      <c r="H258" s="20">
        <f>IF(AND(ISNUMBER(F258),ISNUMBER(G258)),ROUND(F258*G258,2),"")</f>
        <v/>
      </c>
    </row>
    <row r="259">
      <c r="A259" s="18" t="n"/>
      <c r="F259" s="21" t="n"/>
      <c r="G259" s="22">
        <f>IF(ISNUMBER(A259),IF(A259&lt;MIN('IRS Rates'!$A$2:$A$21),"No rate",VLOOKUP(A259,'IRS Rates'!$A$2:$B$21,2,TRUE)),"")</f>
        <v/>
      </c>
      <c r="H259" s="20">
        <f>IF(AND(ISNUMBER(F259),ISNUMBER(G259)),ROUND(F259*G259,2),"")</f>
        <v/>
      </c>
    </row>
    <row r="260">
      <c r="A260" s="18" t="n"/>
      <c r="F260" s="21" t="n"/>
      <c r="G260" s="22">
        <f>IF(ISNUMBER(A260),IF(A260&lt;MIN('IRS Rates'!$A$2:$A$21),"No rate",VLOOKUP(A260,'IRS Rates'!$A$2:$B$21,2,TRUE)),"")</f>
        <v/>
      </c>
      <c r="H260" s="20">
        <f>IF(AND(ISNUMBER(F260),ISNUMBER(G260)),ROUND(F260*G260,2),"")</f>
        <v/>
      </c>
    </row>
    <row r="261">
      <c r="A261" s="18" t="n"/>
      <c r="F261" s="21" t="n"/>
      <c r="G261" s="22">
        <f>IF(ISNUMBER(A261),IF(A261&lt;MIN('IRS Rates'!$A$2:$A$21),"No rate",VLOOKUP(A261,'IRS Rates'!$A$2:$B$21,2,TRUE)),"")</f>
        <v/>
      </c>
      <c r="H261" s="20">
        <f>IF(AND(ISNUMBER(F261),ISNUMBER(G261)),ROUND(F261*G261,2),"")</f>
        <v/>
      </c>
    </row>
    <row r="262">
      <c r="A262" s="18" t="n"/>
      <c r="F262" s="21" t="n"/>
      <c r="G262" s="22">
        <f>IF(ISNUMBER(A262),IF(A262&lt;MIN('IRS Rates'!$A$2:$A$21),"No rate",VLOOKUP(A262,'IRS Rates'!$A$2:$B$21,2,TRUE)),"")</f>
        <v/>
      </c>
      <c r="H262" s="20">
        <f>IF(AND(ISNUMBER(F262),ISNUMBER(G262)),ROUND(F262*G262,2),"")</f>
        <v/>
      </c>
    </row>
    <row r="263">
      <c r="A263" s="18" t="n"/>
      <c r="F263" s="21" t="n"/>
      <c r="G263" s="22">
        <f>IF(ISNUMBER(A263),IF(A263&lt;MIN('IRS Rates'!$A$2:$A$21),"No rate",VLOOKUP(A263,'IRS Rates'!$A$2:$B$21,2,TRUE)),"")</f>
        <v/>
      </c>
      <c r="H263" s="20">
        <f>IF(AND(ISNUMBER(F263),ISNUMBER(G263)),ROUND(F263*G263,2),"")</f>
        <v/>
      </c>
    </row>
    <row r="264">
      <c r="A264" s="18" t="n"/>
      <c r="F264" s="21" t="n"/>
      <c r="G264" s="22">
        <f>IF(ISNUMBER(A264),IF(A264&lt;MIN('IRS Rates'!$A$2:$A$21),"No rate",VLOOKUP(A264,'IRS Rates'!$A$2:$B$21,2,TRUE)),"")</f>
        <v/>
      </c>
      <c r="H264" s="20">
        <f>IF(AND(ISNUMBER(F264),ISNUMBER(G264)),ROUND(F264*G264,2),"")</f>
        <v/>
      </c>
    </row>
    <row r="265">
      <c r="A265" s="18" t="n"/>
      <c r="F265" s="21" t="n"/>
      <c r="G265" s="22">
        <f>IF(ISNUMBER(A265),IF(A265&lt;MIN('IRS Rates'!$A$2:$A$21),"No rate",VLOOKUP(A265,'IRS Rates'!$A$2:$B$21,2,TRUE)),"")</f>
        <v/>
      </c>
      <c r="H265" s="20">
        <f>IF(AND(ISNUMBER(F265),ISNUMBER(G265)),ROUND(F265*G265,2),"")</f>
        <v/>
      </c>
    </row>
    <row r="266">
      <c r="A266" s="18" t="n"/>
      <c r="F266" s="21" t="n"/>
      <c r="G266" s="22">
        <f>IF(ISNUMBER(A266),IF(A266&lt;MIN('IRS Rates'!$A$2:$A$21),"No rate",VLOOKUP(A266,'IRS Rates'!$A$2:$B$21,2,TRUE)),"")</f>
        <v/>
      </c>
      <c r="H266" s="20">
        <f>IF(AND(ISNUMBER(F266),ISNUMBER(G266)),ROUND(F266*G266,2),"")</f>
        <v/>
      </c>
    </row>
    <row r="267">
      <c r="A267" s="18" t="n"/>
      <c r="F267" s="21" t="n"/>
      <c r="G267" s="22">
        <f>IF(ISNUMBER(A267),IF(A267&lt;MIN('IRS Rates'!$A$2:$A$21),"No rate",VLOOKUP(A267,'IRS Rates'!$A$2:$B$21,2,TRUE)),"")</f>
        <v/>
      </c>
      <c r="H267" s="20">
        <f>IF(AND(ISNUMBER(F267),ISNUMBER(G267)),ROUND(F267*G267,2),"")</f>
        <v/>
      </c>
    </row>
    <row r="268">
      <c r="A268" s="18" t="n"/>
      <c r="F268" s="21" t="n"/>
      <c r="G268" s="22">
        <f>IF(ISNUMBER(A268),IF(A268&lt;MIN('IRS Rates'!$A$2:$A$21),"No rate",VLOOKUP(A268,'IRS Rates'!$A$2:$B$21,2,TRUE)),"")</f>
        <v/>
      </c>
      <c r="H268" s="20">
        <f>IF(AND(ISNUMBER(F268),ISNUMBER(G268)),ROUND(F268*G268,2),"")</f>
        <v/>
      </c>
    </row>
    <row r="269">
      <c r="A269" s="18" t="n"/>
      <c r="F269" s="21" t="n"/>
      <c r="G269" s="22">
        <f>IF(ISNUMBER(A269),IF(A269&lt;MIN('IRS Rates'!$A$2:$A$21),"No rate",VLOOKUP(A269,'IRS Rates'!$A$2:$B$21,2,TRUE)),"")</f>
        <v/>
      </c>
      <c r="H269" s="20">
        <f>IF(AND(ISNUMBER(F269),ISNUMBER(G269)),ROUND(F269*G269,2),"")</f>
        <v/>
      </c>
    </row>
    <row r="270">
      <c r="A270" s="18" t="n"/>
      <c r="F270" s="21" t="n"/>
      <c r="G270" s="22">
        <f>IF(ISNUMBER(A270),IF(A270&lt;MIN('IRS Rates'!$A$2:$A$21),"No rate",VLOOKUP(A270,'IRS Rates'!$A$2:$B$21,2,TRUE)),"")</f>
        <v/>
      </c>
      <c r="H270" s="20">
        <f>IF(AND(ISNUMBER(F270),ISNUMBER(G270)),ROUND(F270*G270,2),"")</f>
        <v/>
      </c>
    </row>
    <row r="271">
      <c r="A271" s="18" t="n"/>
      <c r="F271" s="21" t="n"/>
      <c r="G271" s="22">
        <f>IF(ISNUMBER(A271),IF(A271&lt;MIN('IRS Rates'!$A$2:$A$21),"No rate",VLOOKUP(A271,'IRS Rates'!$A$2:$B$21,2,TRUE)),"")</f>
        <v/>
      </c>
      <c r="H271" s="20">
        <f>IF(AND(ISNUMBER(F271),ISNUMBER(G271)),ROUND(F271*G271,2),"")</f>
        <v/>
      </c>
    </row>
    <row r="272">
      <c r="A272" s="18" t="n"/>
      <c r="F272" s="21" t="n"/>
      <c r="G272" s="22">
        <f>IF(ISNUMBER(A272),IF(A272&lt;MIN('IRS Rates'!$A$2:$A$21),"No rate",VLOOKUP(A272,'IRS Rates'!$A$2:$B$21,2,TRUE)),"")</f>
        <v/>
      </c>
      <c r="H272" s="20">
        <f>IF(AND(ISNUMBER(F272),ISNUMBER(G272)),ROUND(F272*G272,2),"")</f>
        <v/>
      </c>
    </row>
    <row r="273">
      <c r="A273" s="18" t="n"/>
      <c r="F273" s="21" t="n"/>
      <c r="G273" s="22">
        <f>IF(ISNUMBER(A273),IF(A273&lt;MIN('IRS Rates'!$A$2:$A$21),"No rate",VLOOKUP(A273,'IRS Rates'!$A$2:$B$21,2,TRUE)),"")</f>
        <v/>
      </c>
      <c r="H273" s="20">
        <f>IF(AND(ISNUMBER(F273),ISNUMBER(G273)),ROUND(F273*G273,2),"")</f>
        <v/>
      </c>
    </row>
    <row r="274">
      <c r="A274" s="18" t="n"/>
      <c r="F274" s="21" t="n"/>
      <c r="G274" s="22">
        <f>IF(ISNUMBER(A274),IF(A274&lt;MIN('IRS Rates'!$A$2:$A$21),"No rate",VLOOKUP(A274,'IRS Rates'!$A$2:$B$21,2,TRUE)),"")</f>
        <v/>
      </c>
      <c r="H274" s="20">
        <f>IF(AND(ISNUMBER(F274),ISNUMBER(G274)),ROUND(F274*G274,2),"")</f>
        <v/>
      </c>
    </row>
    <row r="275">
      <c r="A275" s="18" t="n"/>
      <c r="F275" s="21" t="n"/>
      <c r="G275" s="22">
        <f>IF(ISNUMBER(A275),IF(A275&lt;MIN('IRS Rates'!$A$2:$A$21),"No rate",VLOOKUP(A275,'IRS Rates'!$A$2:$B$21,2,TRUE)),"")</f>
        <v/>
      </c>
      <c r="H275" s="20">
        <f>IF(AND(ISNUMBER(F275),ISNUMBER(G275)),ROUND(F275*G275,2),"")</f>
        <v/>
      </c>
    </row>
    <row r="276">
      <c r="A276" s="18" t="n"/>
      <c r="F276" s="21" t="n"/>
      <c r="G276" s="22">
        <f>IF(ISNUMBER(A276),IF(A276&lt;MIN('IRS Rates'!$A$2:$A$21),"No rate",VLOOKUP(A276,'IRS Rates'!$A$2:$B$21,2,TRUE)),"")</f>
        <v/>
      </c>
      <c r="H276" s="20">
        <f>IF(AND(ISNUMBER(F276),ISNUMBER(G276)),ROUND(F276*G276,2),"")</f>
        <v/>
      </c>
    </row>
    <row r="277">
      <c r="A277" s="18" t="n"/>
      <c r="F277" s="21" t="n"/>
      <c r="G277" s="22">
        <f>IF(ISNUMBER(A277),IF(A277&lt;MIN('IRS Rates'!$A$2:$A$21),"No rate",VLOOKUP(A277,'IRS Rates'!$A$2:$B$21,2,TRUE)),"")</f>
        <v/>
      </c>
      <c r="H277" s="20">
        <f>IF(AND(ISNUMBER(F277),ISNUMBER(G277)),ROUND(F277*G277,2),"")</f>
        <v/>
      </c>
    </row>
    <row r="278">
      <c r="A278" s="18" t="n"/>
      <c r="F278" s="21" t="n"/>
      <c r="G278" s="22">
        <f>IF(ISNUMBER(A278),IF(A278&lt;MIN('IRS Rates'!$A$2:$A$21),"No rate",VLOOKUP(A278,'IRS Rates'!$A$2:$B$21,2,TRUE)),"")</f>
        <v/>
      </c>
      <c r="H278" s="20">
        <f>IF(AND(ISNUMBER(F278),ISNUMBER(G278)),ROUND(F278*G278,2),"")</f>
        <v/>
      </c>
    </row>
    <row r="279">
      <c r="A279" s="18" t="n"/>
      <c r="F279" s="21" t="n"/>
      <c r="G279" s="22">
        <f>IF(ISNUMBER(A279),IF(A279&lt;MIN('IRS Rates'!$A$2:$A$21),"No rate",VLOOKUP(A279,'IRS Rates'!$A$2:$B$21,2,TRUE)),"")</f>
        <v/>
      </c>
      <c r="H279" s="20">
        <f>IF(AND(ISNUMBER(F279),ISNUMBER(G279)),ROUND(F279*G279,2),"")</f>
        <v/>
      </c>
    </row>
    <row r="280">
      <c r="A280" s="18" t="n"/>
      <c r="F280" s="21" t="n"/>
      <c r="G280" s="22">
        <f>IF(ISNUMBER(A280),IF(A280&lt;MIN('IRS Rates'!$A$2:$A$21),"No rate",VLOOKUP(A280,'IRS Rates'!$A$2:$B$21,2,TRUE)),"")</f>
        <v/>
      </c>
      <c r="H280" s="20">
        <f>IF(AND(ISNUMBER(F280),ISNUMBER(G280)),ROUND(F280*G280,2),"")</f>
        <v/>
      </c>
    </row>
    <row r="281">
      <c r="A281" s="18" t="n"/>
      <c r="F281" s="21" t="n"/>
      <c r="G281" s="22">
        <f>IF(ISNUMBER(A281),IF(A281&lt;MIN('IRS Rates'!$A$2:$A$21),"No rate",VLOOKUP(A281,'IRS Rates'!$A$2:$B$21,2,TRUE)),"")</f>
        <v/>
      </c>
      <c r="H281" s="20">
        <f>IF(AND(ISNUMBER(F281),ISNUMBER(G281)),ROUND(F281*G281,2),"")</f>
        <v/>
      </c>
    </row>
    <row r="282">
      <c r="A282" s="18" t="n"/>
      <c r="F282" s="21" t="n"/>
      <c r="G282" s="22">
        <f>IF(ISNUMBER(A282),IF(A282&lt;MIN('IRS Rates'!$A$2:$A$21),"No rate",VLOOKUP(A282,'IRS Rates'!$A$2:$B$21,2,TRUE)),"")</f>
        <v/>
      </c>
      <c r="H282" s="20">
        <f>IF(AND(ISNUMBER(F282),ISNUMBER(G282)),ROUND(F282*G282,2),"")</f>
        <v/>
      </c>
    </row>
    <row r="283">
      <c r="A283" s="18" t="n"/>
      <c r="F283" s="21" t="n"/>
      <c r="G283" s="22">
        <f>IF(ISNUMBER(A283),IF(A283&lt;MIN('IRS Rates'!$A$2:$A$21),"No rate",VLOOKUP(A283,'IRS Rates'!$A$2:$B$21,2,TRUE)),"")</f>
        <v/>
      </c>
      <c r="H283" s="20">
        <f>IF(AND(ISNUMBER(F283),ISNUMBER(G283)),ROUND(F283*G283,2),"")</f>
        <v/>
      </c>
    </row>
    <row r="284">
      <c r="A284" s="18" t="n"/>
      <c r="F284" s="21" t="n"/>
      <c r="G284" s="22">
        <f>IF(ISNUMBER(A284),IF(A284&lt;MIN('IRS Rates'!$A$2:$A$21),"No rate",VLOOKUP(A284,'IRS Rates'!$A$2:$B$21,2,TRUE)),"")</f>
        <v/>
      </c>
      <c r="H284" s="20">
        <f>IF(AND(ISNUMBER(F284),ISNUMBER(G284)),ROUND(F284*G284,2),"")</f>
        <v/>
      </c>
    </row>
    <row r="285">
      <c r="A285" s="18" t="n"/>
      <c r="F285" s="21" t="n"/>
      <c r="G285" s="22">
        <f>IF(ISNUMBER(A285),IF(A285&lt;MIN('IRS Rates'!$A$2:$A$21),"No rate",VLOOKUP(A285,'IRS Rates'!$A$2:$B$21,2,TRUE)),"")</f>
        <v/>
      </c>
      <c r="H285" s="20">
        <f>IF(AND(ISNUMBER(F285),ISNUMBER(G285)),ROUND(F285*G285,2),"")</f>
        <v/>
      </c>
    </row>
    <row r="286">
      <c r="A286" s="18" t="n"/>
      <c r="F286" s="21" t="n"/>
      <c r="G286" s="22">
        <f>IF(ISNUMBER(A286),IF(A286&lt;MIN('IRS Rates'!$A$2:$A$21),"No rate",VLOOKUP(A286,'IRS Rates'!$A$2:$B$21,2,TRUE)),"")</f>
        <v/>
      </c>
      <c r="H286" s="20">
        <f>IF(AND(ISNUMBER(F286),ISNUMBER(G286)),ROUND(F286*G286,2),"")</f>
        <v/>
      </c>
    </row>
    <row r="287">
      <c r="A287" s="18" t="n"/>
      <c r="F287" s="21" t="n"/>
      <c r="G287" s="22">
        <f>IF(ISNUMBER(A287),IF(A287&lt;MIN('IRS Rates'!$A$2:$A$21),"No rate",VLOOKUP(A287,'IRS Rates'!$A$2:$B$21,2,TRUE)),"")</f>
        <v/>
      </c>
      <c r="H287" s="20">
        <f>IF(AND(ISNUMBER(F287),ISNUMBER(G287)),ROUND(F287*G287,2),"")</f>
        <v/>
      </c>
    </row>
    <row r="288">
      <c r="A288" s="18" t="n"/>
      <c r="F288" s="21" t="n"/>
      <c r="G288" s="22">
        <f>IF(ISNUMBER(A288),IF(A288&lt;MIN('IRS Rates'!$A$2:$A$21),"No rate",VLOOKUP(A288,'IRS Rates'!$A$2:$B$21,2,TRUE)),"")</f>
        <v/>
      </c>
      <c r="H288" s="20">
        <f>IF(AND(ISNUMBER(F288),ISNUMBER(G288)),ROUND(F288*G288,2),"")</f>
        <v/>
      </c>
    </row>
    <row r="289">
      <c r="A289" s="18" t="n"/>
      <c r="F289" s="21" t="n"/>
      <c r="G289" s="22">
        <f>IF(ISNUMBER(A289),IF(A289&lt;MIN('IRS Rates'!$A$2:$A$21),"No rate",VLOOKUP(A289,'IRS Rates'!$A$2:$B$21,2,TRUE)),"")</f>
        <v/>
      </c>
      <c r="H289" s="20">
        <f>IF(AND(ISNUMBER(F289),ISNUMBER(G289)),ROUND(F289*G289,2),"")</f>
        <v/>
      </c>
    </row>
    <row r="290">
      <c r="A290" s="18" t="n"/>
      <c r="F290" s="21" t="n"/>
      <c r="G290" s="22">
        <f>IF(ISNUMBER(A290),IF(A290&lt;MIN('IRS Rates'!$A$2:$A$21),"No rate",VLOOKUP(A290,'IRS Rates'!$A$2:$B$21,2,TRUE)),"")</f>
        <v/>
      </c>
      <c r="H290" s="20">
        <f>IF(AND(ISNUMBER(F290),ISNUMBER(G290)),ROUND(F290*G290,2),"")</f>
        <v/>
      </c>
    </row>
    <row r="291">
      <c r="A291" s="18" t="n"/>
      <c r="F291" s="21" t="n"/>
      <c r="G291" s="22">
        <f>IF(ISNUMBER(A291),IF(A291&lt;MIN('IRS Rates'!$A$2:$A$21),"No rate",VLOOKUP(A291,'IRS Rates'!$A$2:$B$21,2,TRUE)),"")</f>
        <v/>
      </c>
      <c r="H291" s="20">
        <f>IF(AND(ISNUMBER(F291),ISNUMBER(G291)),ROUND(F291*G291,2),"")</f>
        <v/>
      </c>
    </row>
    <row r="292">
      <c r="A292" s="18" t="n"/>
      <c r="F292" s="21" t="n"/>
      <c r="G292" s="22">
        <f>IF(ISNUMBER(A292),IF(A292&lt;MIN('IRS Rates'!$A$2:$A$21),"No rate",VLOOKUP(A292,'IRS Rates'!$A$2:$B$21,2,TRUE)),"")</f>
        <v/>
      </c>
      <c r="H292" s="20">
        <f>IF(AND(ISNUMBER(F292),ISNUMBER(G292)),ROUND(F292*G292,2),"")</f>
        <v/>
      </c>
    </row>
    <row r="293">
      <c r="A293" s="18" t="n"/>
      <c r="F293" s="21" t="n"/>
      <c r="G293" s="22">
        <f>IF(ISNUMBER(A293),IF(A293&lt;MIN('IRS Rates'!$A$2:$A$21),"No rate",VLOOKUP(A293,'IRS Rates'!$A$2:$B$21,2,TRUE)),"")</f>
        <v/>
      </c>
      <c r="H293" s="20">
        <f>IF(AND(ISNUMBER(F293),ISNUMBER(G293)),ROUND(F293*G293,2),"")</f>
        <v/>
      </c>
    </row>
    <row r="294">
      <c r="A294" s="18" t="n"/>
      <c r="F294" s="21" t="n"/>
      <c r="G294" s="22">
        <f>IF(ISNUMBER(A294),IF(A294&lt;MIN('IRS Rates'!$A$2:$A$21),"No rate",VLOOKUP(A294,'IRS Rates'!$A$2:$B$21,2,TRUE)),"")</f>
        <v/>
      </c>
      <c r="H294" s="20">
        <f>IF(AND(ISNUMBER(F294),ISNUMBER(G294)),ROUND(F294*G294,2),"")</f>
        <v/>
      </c>
    </row>
    <row r="295">
      <c r="A295" s="18" t="n"/>
      <c r="F295" s="21" t="n"/>
      <c r="G295" s="22">
        <f>IF(ISNUMBER(A295),IF(A295&lt;MIN('IRS Rates'!$A$2:$A$21),"No rate",VLOOKUP(A295,'IRS Rates'!$A$2:$B$21,2,TRUE)),"")</f>
        <v/>
      </c>
      <c r="H295" s="20">
        <f>IF(AND(ISNUMBER(F295),ISNUMBER(G295)),ROUND(F295*G295,2),"")</f>
        <v/>
      </c>
    </row>
    <row r="296">
      <c r="A296" s="18" t="n"/>
      <c r="F296" s="21" t="n"/>
      <c r="G296" s="22">
        <f>IF(ISNUMBER(A296),IF(A296&lt;MIN('IRS Rates'!$A$2:$A$21),"No rate",VLOOKUP(A296,'IRS Rates'!$A$2:$B$21,2,TRUE)),"")</f>
        <v/>
      </c>
      <c r="H296" s="20">
        <f>IF(AND(ISNUMBER(F296),ISNUMBER(G296)),ROUND(F296*G296,2),"")</f>
        <v/>
      </c>
    </row>
    <row r="297">
      <c r="A297" s="18" t="n"/>
      <c r="F297" s="21" t="n"/>
      <c r="G297" s="22">
        <f>IF(ISNUMBER(A297),IF(A297&lt;MIN('IRS Rates'!$A$2:$A$21),"No rate",VLOOKUP(A297,'IRS Rates'!$A$2:$B$21,2,TRUE)),"")</f>
        <v/>
      </c>
      <c r="H297" s="20">
        <f>IF(AND(ISNUMBER(F297),ISNUMBER(G297)),ROUND(F297*G297,2),"")</f>
        <v/>
      </c>
    </row>
    <row r="298">
      <c r="A298" s="18" t="n"/>
      <c r="F298" s="21" t="n"/>
      <c r="G298" s="22">
        <f>IF(ISNUMBER(A298),IF(A298&lt;MIN('IRS Rates'!$A$2:$A$21),"No rate",VLOOKUP(A298,'IRS Rates'!$A$2:$B$21,2,TRUE)),"")</f>
        <v/>
      </c>
      <c r="H298" s="20">
        <f>IF(AND(ISNUMBER(F298),ISNUMBER(G298)),ROUND(F298*G298,2),"")</f>
        <v/>
      </c>
    </row>
    <row r="299">
      <c r="A299" s="18" t="n"/>
      <c r="F299" s="21" t="n"/>
      <c r="G299" s="22">
        <f>IF(ISNUMBER(A299),IF(A299&lt;MIN('IRS Rates'!$A$2:$A$21),"No rate",VLOOKUP(A299,'IRS Rates'!$A$2:$B$21,2,TRUE)),"")</f>
        <v/>
      </c>
      <c r="H299" s="20">
        <f>IF(AND(ISNUMBER(F299),ISNUMBER(G299)),ROUND(F299*G299,2),"")</f>
        <v/>
      </c>
    </row>
    <row r="300">
      <c r="A300" s="18" t="n"/>
      <c r="F300" s="21" t="n"/>
      <c r="G300" s="22">
        <f>IF(ISNUMBER(A300),IF(A300&lt;MIN('IRS Rates'!$A$2:$A$21),"No rate",VLOOKUP(A300,'IRS Rates'!$A$2:$B$21,2,TRUE)),"")</f>
        <v/>
      </c>
      <c r="H300" s="20">
        <f>IF(AND(ISNUMBER(F300),ISNUMBER(G300)),ROUND(F300*G300,2),"")</f>
        <v/>
      </c>
    </row>
    <row r="301">
      <c r="A301" s="18" t="n"/>
      <c r="F301" s="21" t="n"/>
      <c r="G301" s="22">
        <f>IF(ISNUMBER(A301),IF(A301&lt;MIN('IRS Rates'!$A$2:$A$21),"No rate",VLOOKUP(A301,'IRS Rates'!$A$2:$B$21,2,TRUE)),"")</f>
        <v/>
      </c>
      <c r="H301" s="20">
        <f>IF(AND(ISNUMBER(F301),ISNUMBER(G301)),ROUND(F301*G301,2),"")</f>
        <v/>
      </c>
    </row>
    <row r="302">
      <c r="A302" s="18" t="n"/>
      <c r="F302" s="21" t="n"/>
      <c r="G302" s="22">
        <f>IF(ISNUMBER(A302),IF(A302&lt;MIN('IRS Rates'!$A$2:$A$21),"No rate",VLOOKUP(A302,'IRS Rates'!$A$2:$B$21,2,TRUE)),"")</f>
        <v/>
      </c>
      <c r="H302" s="20">
        <f>IF(AND(ISNUMBER(F302),ISNUMBER(G302)),ROUND(F302*G302,2),"")</f>
        <v/>
      </c>
    </row>
    <row r="303">
      <c r="A303" s="18" t="n"/>
      <c r="F303" s="21" t="n"/>
      <c r="G303" s="22">
        <f>IF(ISNUMBER(A303),IF(A303&lt;MIN('IRS Rates'!$A$2:$A$21),"No rate",VLOOKUP(A303,'IRS Rates'!$A$2:$B$21,2,TRUE)),"")</f>
        <v/>
      </c>
      <c r="H303" s="20">
        <f>IF(AND(ISNUMBER(F303),ISNUMBER(G303)),ROUND(F303*G303,2),"")</f>
        <v/>
      </c>
    </row>
    <row r="304">
      <c r="A304" s="18" t="n"/>
      <c r="F304" s="21" t="n"/>
      <c r="G304" s="22">
        <f>IF(ISNUMBER(A304),IF(A304&lt;MIN('IRS Rates'!$A$2:$A$21),"No rate",VLOOKUP(A304,'IRS Rates'!$A$2:$B$21,2,TRUE)),"")</f>
        <v/>
      </c>
      <c r="H304" s="20">
        <f>IF(AND(ISNUMBER(F304),ISNUMBER(G304)),ROUND(F304*G304,2),"")</f>
        <v/>
      </c>
    </row>
    <row r="305">
      <c r="A305" s="18" t="n"/>
      <c r="F305" s="21" t="n"/>
      <c r="G305" s="22">
        <f>IF(ISNUMBER(A305),IF(A305&lt;MIN('IRS Rates'!$A$2:$A$21),"No rate",VLOOKUP(A305,'IRS Rates'!$A$2:$B$21,2,TRUE)),"")</f>
        <v/>
      </c>
      <c r="H305" s="20">
        <f>IF(AND(ISNUMBER(F305),ISNUMBER(G305)),ROUND(F305*G305,2),"")</f>
        <v/>
      </c>
    </row>
    <row r="306">
      <c r="A306" s="18" t="n"/>
      <c r="F306" s="21" t="n"/>
      <c r="G306" s="22">
        <f>IF(ISNUMBER(A306),IF(A306&lt;MIN('IRS Rates'!$A$2:$A$21),"No rate",VLOOKUP(A306,'IRS Rates'!$A$2:$B$21,2,TRUE)),"")</f>
        <v/>
      </c>
      <c r="H306" s="20">
        <f>IF(AND(ISNUMBER(F306),ISNUMBER(G306)),ROUND(F306*G306,2),"")</f>
        <v/>
      </c>
    </row>
    <row r="307">
      <c r="A307" s="18" t="n"/>
      <c r="F307" s="21" t="n"/>
      <c r="G307" s="22">
        <f>IF(ISNUMBER(A307),IF(A307&lt;MIN('IRS Rates'!$A$2:$A$21),"No rate",VLOOKUP(A307,'IRS Rates'!$A$2:$B$21,2,TRUE)),"")</f>
        <v/>
      </c>
      <c r="H307" s="20">
        <f>IF(AND(ISNUMBER(F307),ISNUMBER(G307)),ROUND(F307*G307,2),"")</f>
        <v/>
      </c>
    </row>
    <row r="308">
      <c r="A308" s="18" t="n"/>
      <c r="F308" s="21" t="n"/>
      <c r="G308" s="22">
        <f>IF(ISNUMBER(A308),IF(A308&lt;MIN('IRS Rates'!$A$2:$A$21),"No rate",VLOOKUP(A308,'IRS Rates'!$A$2:$B$21,2,TRUE)),"")</f>
        <v/>
      </c>
      <c r="H308" s="20">
        <f>IF(AND(ISNUMBER(F308),ISNUMBER(G308)),ROUND(F308*G308,2),"")</f>
        <v/>
      </c>
    </row>
    <row r="309">
      <c r="A309" s="18" t="n"/>
      <c r="F309" s="21" t="n"/>
      <c r="G309" s="22">
        <f>IF(ISNUMBER(A309),IF(A309&lt;MIN('IRS Rates'!$A$2:$A$21),"No rate",VLOOKUP(A309,'IRS Rates'!$A$2:$B$21,2,TRUE)),"")</f>
        <v/>
      </c>
      <c r="H309" s="20">
        <f>IF(AND(ISNUMBER(F309),ISNUMBER(G309)),ROUND(F309*G309,2),"")</f>
        <v/>
      </c>
    </row>
    <row r="310">
      <c r="A310" s="18" t="n"/>
      <c r="F310" s="21" t="n"/>
      <c r="G310" s="22">
        <f>IF(ISNUMBER(A310),IF(A310&lt;MIN('IRS Rates'!$A$2:$A$21),"No rate",VLOOKUP(A310,'IRS Rates'!$A$2:$B$21,2,TRUE)),"")</f>
        <v/>
      </c>
      <c r="H310" s="20">
        <f>IF(AND(ISNUMBER(F310),ISNUMBER(G310)),ROUND(F310*G310,2),"")</f>
        <v/>
      </c>
    </row>
    <row r="311">
      <c r="A311" s="18" t="n"/>
      <c r="F311" s="21" t="n"/>
      <c r="G311" s="22">
        <f>IF(ISNUMBER(A311),IF(A311&lt;MIN('IRS Rates'!$A$2:$A$21),"No rate",VLOOKUP(A311,'IRS Rates'!$A$2:$B$21,2,TRUE)),"")</f>
        <v/>
      </c>
      <c r="H311" s="20">
        <f>IF(AND(ISNUMBER(F311),ISNUMBER(G311)),ROUND(F311*G311,2),"")</f>
        <v/>
      </c>
    </row>
    <row r="312">
      <c r="A312" s="18" t="n"/>
      <c r="F312" s="21" t="n"/>
      <c r="G312" s="22">
        <f>IF(ISNUMBER(A312),IF(A312&lt;MIN('IRS Rates'!$A$2:$A$21),"No rate",VLOOKUP(A312,'IRS Rates'!$A$2:$B$21,2,TRUE)),"")</f>
        <v/>
      </c>
      <c r="H312" s="20">
        <f>IF(AND(ISNUMBER(F312),ISNUMBER(G312)),ROUND(F312*G312,2),"")</f>
        <v/>
      </c>
    </row>
    <row r="313">
      <c r="A313" s="18" t="n"/>
      <c r="F313" s="21" t="n"/>
      <c r="G313" s="22">
        <f>IF(ISNUMBER(A313),IF(A313&lt;MIN('IRS Rates'!$A$2:$A$21),"No rate",VLOOKUP(A313,'IRS Rates'!$A$2:$B$21,2,TRUE)),"")</f>
        <v/>
      </c>
      <c r="H313" s="20">
        <f>IF(AND(ISNUMBER(F313),ISNUMBER(G313)),ROUND(F313*G313,2),"")</f>
        <v/>
      </c>
    </row>
    <row r="314">
      <c r="A314" s="18" t="n"/>
      <c r="F314" s="21" t="n"/>
      <c r="G314" s="22">
        <f>IF(ISNUMBER(A314),IF(A314&lt;MIN('IRS Rates'!$A$2:$A$21),"No rate",VLOOKUP(A314,'IRS Rates'!$A$2:$B$21,2,TRUE)),"")</f>
        <v/>
      </c>
      <c r="H314" s="20">
        <f>IF(AND(ISNUMBER(F314),ISNUMBER(G314)),ROUND(F314*G314,2),"")</f>
        <v/>
      </c>
    </row>
    <row r="315">
      <c r="A315" s="18" t="n"/>
      <c r="F315" s="21" t="n"/>
      <c r="G315" s="22">
        <f>IF(ISNUMBER(A315),IF(A315&lt;MIN('IRS Rates'!$A$2:$A$21),"No rate",VLOOKUP(A315,'IRS Rates'!$A$2:$B$21,2,TRUE)),"")</f>
        <v/>
      </c>
      <c r="H315" s="20">
        <f>IF(AND(ISNUMBER(F315),ISNUMBER(G315)),ROUND(F315*G315,2),"")</f>
        <v/>
      </c>
    </row>
    <row r="316">
      <c r="A316" s="18" t="n"/>
      <c r="F316" s="21" t="n"/>
      <c r="G316" s="22">
        <f>IF(ISNUMBER(A316),IF(A316&lt;MIN('IRS Rates'!$A$2:$A$21),"No rate",VLOOKUP(A316,'IRS Rates'!$A$2:$B$21,2,TRUE)),"")</f>
        <v/>
      </c>
      <c r="H316" s="20">
        <f>IF(AND(ISNUMBER(F316),ISNUMBER(G316)),ROUND(F316*G316,2),"")</f>
        <v/>
      </c>
    </row>
    <row r="317">
      <c r="A317" s="18" t="n"/>
      <c r="F317" s="21" t="n"/>
      <c r="G317" s="22">
        <f>IF(ISNUMBER(A317),IF(A317&lt;MIN('IRS Rates'!$A$2:$A$21),"No rate",VLOOKUP(A317,'IRS Rates'!$A$2:$B$21,2,TRUE)),"")</f>
        <v/>
      </c>
      <c r="H317" s="20">
        <f>IF(AND(ISNUMBER(F317),ISNUMBER(G317)),ROUND(F317*G317,2),"")</f>
        <v/>
      </c>
    </row>
    <row r="318">
      <c r="A318" s="18" t="n"/>
      <c r="F318" s="21" t="n"/>
      <c r="G318" s="22">
        <f>IF(ISNUMBER(A318),IF(A318&lt;MIN('IRS Rates'!$A$2:$A$21),"No rate",VLOOKUP(A318,'IRS Rates'!$A$2:$B$21,2,TRUE)),"")</f>
        <v/>
      </c>
      <c r="H318" s="20">
        <f>IF(AND(ISNUMBER(F318),ISNUMBER(G318)),ROUND(F318*G318,2),"")</f>
        <v/>
      </c>
    </row>
    <row r="319">
      <c r="A319" s="18" t="n"/>
      <c r="F319" s="21" t="n"/>
      <c r="G319" s="22">
        <f>IF(ISNUMBER(A319),IF(A319&lt;MIN('IRS Rates'!$A$2:$A$21),"No rate",VLOOKUP(A319,'IRS Rates'!$A$2:$B$21,2,TRUE)),"")</f>
        <v/>
      </c>
      <c r="H319" s="20">
        <f>IF(AND(ISNUMBER(F319),ISNUMBER(G319)),ROUND(F319*G319,2),"")</f>
        <v/>
      </c>
    </row>
    <row r="320">
      <c r="A320" s="18" t="n"/>
      <c r="F320" s="21" t="n"/>
      <c r="G320" s="22">
        <f>IF(ISNUMBER(A320),IF(A320&lt;MIN('IRS Rates'!$A$2:$A$21),"No rate",VLOOKUP(A320,'IRS Rates'!$A$2:$B$21,2,TRUE)),"")</f>
        <v/>
      </c>
      <c r="H320" s="20">
        <f>IF(AND(ISNUMBER(F320),ISNUMBER(G320)),ROUND(F320*G320,2),"")</f>
        <v/>
      </c>
    </row>
    <row r="321">
      <c r="A321" s="18" t="n"/>
      <c r="F321" s="21" t="n"/>
      <c r="G321" s="22">
        <f>IF(ISNUMBER(A321),IF(A321&lt;MIN('IRS Rates'!$A$2:$A$21),"No rate",VLOOKUP(A321,'IRS Rates'!$A$2:$B$21,2,TRUE)),"")</f>
        <v/>
      </c>
      <c r="H321" s="20">
        <f>IF(AND(ISNUMBER(F321),ISNUMBER(G321)),ROUND(F321*G321,2),"")</f>
        <v/>
      </c>
    </row>
    <row r="322">
      <c r="A322" s="18" t="n"/>
      <c r="F322" s="21" t="n"/>
      <c r="G322" s="22">
        <f>IF(ISNUMBER(A322),IF(A322&lt;MIN('IRS Rates'!$A$2:$A$21),"No rate",VLOOKUP(A322,'IRS Rates'!$A$2:$B$21,2,TRUE)),"")</f>
        <v/>
      </c>
      <c r="H322" s="20">
        <f>IF(AND(ISNUMBER(F322),ISNUMBER(G322)),ROUND(F322*G322,2),"")</f>
        <v/>
      </c>
    </row>
    <row r="323">
      <c r="A323" s="18" t="n"/>
      <c r="F323" s="21" t="n"/>
      <c r="G323" s="22">
        <f>IF(ISNUMBER(A323),IF(A323&lt;MIN('IRS Rates'!$A$2:$A$21),"No rate",VLOOKUP(A323,'IRS Rates'!$A$2:$B$21,2,TRUE)),"")</f>
        <v/>
      </c>
      <c r="H323" s="20">
        <f>IF(AND(ISNUMBER(F323),ISNUMBER(G323)),ROUND(F323*G323,2),"")</f>
        <v/>
      </c>
    </row>
    <row r="324">
      <c r="A324" s="18" t="n"/>
      <c r="F324" s="21" t="n"/>
      <c r="G324" s="22">
        <f>IF(ISNUMBER(A324),IF(A324&lt;MIN('IRS Rates'!$A$2:$A$21),"No rate",VLOOKUP(A324,'IRS Rates'!$A$2:$B$21,2,TRUE)),"")</f>
        <v/>
      </c>
      <c r="H324" s="20">
        <f>IF(AND(ISNUMBER(F324),ISNUMBER(G324)),ROUND(F324*G324,2),"")</f>
        <v/>
      </c>
    </row>
    <row r="325">
      <c r="A325" s="18" t="n"/>
      <c r="F325" s="21" t="n"/>
      <c r="G325" s="22">
        <f>IF(ISNUMBER(A325),IF(A325&lt;MIN('IRS Rates'!$A$2:$A$21),"No rate",VLOOKUP(A325,'IRS Rates'!$A$2:$B$21,2,TRUE)),"")</f>
        <v/>
      </c>
      <c r="H325" s="20">
        <f>IF(AND(ISNUMBER(F325),ISNUMBER(G325)),ROUND(F325*G325,2),"")</f>
        <v/>
      </c>
    </row>
    <row r="326">
      <c r="A326" s="18" t="n"/>
      <c r="F326" s="21" t="n"/>
      <c r="G326" s="22">
        <f>IF(ISNUMBER(A326),IF(A326&lt;MIN('IRS Rates'!$A$2:$A$21),"No rate",VLOOKUP(A326,'IRS Rates'!$A$2:$B$21,2,TRUE)),"")</f>
        <v/>
      </c>
      <c r="H326" s="20">
        <f>IF(AND(ISNUMBER(F326),ISNUMBER(G326)),ROUND(F326*G326,2),"")</f>
        <v/>
      </c>
    </row>
    <row r="327">
      <c r="A327" s="18" t="n"/>
      <c r="F327" s="21" t="n"/>
      <c r="G327" s="22">
        <f>IF(ISNUMBER(A327),IF(A327&lt;MIN('IRS Rates'!$A$2:$A$21),"No rate",VLOOKUP(A327,'IRS Rates'!$A$2:$B$21,2,TRUE)),"")</f>
        <v/>
      </c>
      <c r="H327" s="20">
        <f>IF(AND(ISNUMBER(F327),ISNUMBER(G327)),ROUND(F327*G327,2),"")</f>
        <v/>
      </c>
    </row>
    <row r="328">
      <c r="A328" s="18" t="n"/>
      <c r="F328" s="21" t="n"/>
      <c r="G328" s="22">
        <f>IF(ISNUMBER(A328),IF(A328&lt;MIN('IRS Rates'!$A$2:$A$21),"No rate",VLOOKUP(A328,'IRS Rates'!$A$2:$B$21,2,TRUE)),"")</f>
        <v/>
      </c>
      <c r="H328" s="20">
        <f>IF(AND(ISNUMBER(F328),ISNUMBER(G328)),ROUND(F328*G328,2),"")</f>
        <v/>
      </c>
    </row>
    <row r="329">
      <c r="A329" s="18" t="n"/>
      <c r="F329" s="21" t="n"/>
      <c r="G329" s="22">
        <f>IF(ISNUMBER(A329),IF(A329&lt;MIN('IRS Rates'!$A$2:$A$21),"No rate",VLOOKUP(A329,'IRS Rates'!$A$2:$B$21,2,TRUE)),"")</f>
        <v/>
      </c>
      <c r="H329" s="20">
        <f>IF(AND(ISNUMBER(F329),ISNUMBER(G329)),ROUND(F329*G329,2),"")</f>
        <v/>
      </c>
    </row>
    <row r="330">
      <c r="A330" s="18" t="n"/>
      <c r="F330" s="21" t="n"/>
      <c r="G330" s="22">
        <f>IF(ISNUMBER(A330),IF(A330&lt;MIN('IRS Rates'!$A$2:$A$21),"No rate",VLOOKUP(A330,'IRS Rates'!$A$2:$B$21,2,TRUE)),"")</f>
        <v/>
      </c>
      <c r="H330" s="20">
        <f>IF(AND(ISNUMBER(F330),ISNUMBER(G330)),ROUND(F330*G330,2),"")</f>
        <v/>
      </c>
    </row>
    <row r="331">
      <c r="A331" s="18" t="n"/>
      <c r="F331" s="21" t="n"/>
      <c r="G331" s="22">
        <f>IF(ISNUMBER(A331),IF(A331&lt;MIN('IRS Rates'!$A$2:$A$21),"No rate",VLOOKUP(A331,'IRS Rates'!$A$2:$B$21,2,TRUE)),"")</f>
        <v/>
      </c>
      <c r="H331" s="20">
        <f>IF(AND(ISNUMBER(F331),ISNUMBER(G331)),ROUND(F331*G331,2),"")</f>
        <v/>
      </c>
    </row>
    <row r="332">
      <c r="A332" s="18" t="n"/>
      <c r="F332" s="21" t="n"/>
      <c r="G332" s="22">
        <f>IF(ISNUMBER(A332),IF(A332&lt;MIN('IRS Rates'!$A$2:$A$21),"No rate",VLOOKUP(A332,'IRS Rates'!$A$2:$B$21,2,TRUE)),"")</f>
        <v/>
      </c>
      <c r="H332" s="20">
        <f>IF(AND(ISNUMBER(F332),ISNUMBER(G332)),ROUND(F332*G332,2),"")</f>
        <v/>
      </c>
    </row>
    <row r="333">
      <c r="A333" s="18" t="n"/>
      <c r="F333" s="21" t="n"/>
      <c r="G333" s="22">
        <f>IF(ISNUMBER(A333),IF(A333&lt;MIN('IRS Rates'!$A$2:$A$21),"No rate",VLOOKUP(A333,'IRS Rates'!$A$2:$B$21,2,TRUE)),"")</f>
        <v/>
      </c>
      <c r="H333" s="20">
        <f>IF(AND(ISNUMBER(F333),ISNUMBER(G333)),ROUND(F333*G333,2),"")</f>
        <v/>
      </c>
    </row>
    <row r="334">
      <c r="A334" s="18" t="n"/>
      <c r="F334" s="21" t="n"/>
      <c r="G334" s="22">
        <f>IF(ISNUMBER(A334),IF(A334&lt;MIN('IRS Rates'!$A$2:$A$21),"No rate",VLOOKUP(A334,'IRS Rates'!$A$2:$B$21,2,TRUE)),"")</f>
        <v/>
      </c>
      <c r="H334" s="20">
        <f>IF(AND(ISNUMBER(F334),ISNUMBER(G334)),ROUND(F334*G334,2),"")</f>
        <v/>
      </c>
    </row>
    <row r="335">
      <c r="A335" s="18" t="n"/>
      <c r="F335" s="21" t="n"/>
      <c r="G335" s="22">
        <f>IF(ISNUMBER(A335),IF(A335&lt;MIN('IRS Rates'!$A$2:$A$21),"No rate",VLOOKUP(A335,'IRS Rates'!$A$2:$B$21,2,TRUE)),"")</f>
        <v/>
      </c>
      <c r="H335" s="20">
        <f>IF(AND(ISNUMBER(F335),ISNUMBER(G335)),ROUND(F335*G335,2),"")</f>
        <v/>
      </c>
    </row>
    <row r="336">
      <c r="A336" s="18" t="n"/>
      <c r="F336" s="21" t="n"/>
      <c r="G336" s="22">
        <f>IF(ISNUMBER(A336),IF(A336&lt;MIN('IRS Rates'!$A$2:$A$21),"No rate",VLOOKUP(A336,'IRS Rates'!$A$2:$B$21,2,TRUE)),"")</f>
        <v/>
      </c>
      <c r="H336" s="20">
        <f>IF(AND(ISNUMBER(F336),ISNUMBER(G336)),ROUND(F336*G336,2),"")</f>
        <v/>
      </c>
    </row>
    <row r="337">
      <c r="A337" s="18" t="n"/>
      <c r="F337" s="21" t="n"/>
      <c r="G337" s="22">
        <f>IF(ISNUMBER(A337),IF(A337&lt;MIN('IRS Rates'!$A$2:$A$21),"No rate",VLOOKUP(A337,'IRS Rates'!$A$2:$B$21,2,TRUE)),"")</f>
        <v/>
      </c>
      <c r="H337" s="20">
        <f>IF(AND(ISNUMBER(F337),ISNUMBER(G337)),ROUND(F337*G337,2),"")</f>
        <v/>
      </c>
    </row>
    <row r="338">
      <c r="A338" s="18" t="n"/>
      <c r="F338" s="21" t="n"/>
      <c r="G338" s="22">
        <f>IF(ISNUMBER(A338),IF(A338&lt;MIN('IRS Rates'!$A$2:$A$21),"No rate",VLOOKUP(A338,'IRS Rates'!$A$2:$B$21,2,TRUE)),"")</f>
        <v/>
      </c>
      <c r="H338" s="20">
        <f>IF(AND(ISNUMBER(F338),ISNUMBER(G338)),ROUND(F338*G338,2),"")</f>
        <v/>
      </c>
    </row>
    <row r="339">
      <c r="A339" s="18" t="n"/>
      <c r="F339" s="21" t="n"/>
      <c r="G339" s="22">
        <f>IF(ISNUMBER(A339),IF(A339&lt;MIN('IRS Rates'!$A$2:$A$21),"No rate",VLOOKUP(A339,'IRS Rates'!$A$2:$B$21,2,TRUE)),"")</f>
        <v/>
      </c>
      <c r="H339" s="20">
        <f>IF(AND(ISNUMBER(F339),ISNUMBER(G339)),ROUND(F339*G339,2),"")</f>
        <v/>
      </c>
    </row>
    <row r="340">
      <c r="A340" s="18" t="n"/>
      <c r="F340" s="21" t="n"/>
      <c r="G340" s="22">
        <f>IF(ISNUMBER(A340),IF(A340&lt;MIN('IRS Rates'!$A$2:$A$21),"No rate",VLOOKUP(A340,'IRS Rates'!$A$2:$B$21,2,TRUE)),"")</f>
        <v/>
      </c>
      <c r="H340" s="20">
        <f>IF(AND(ISNUMBER(F340),ISNUMBER(G340)),ROUND(F340*G340,2),"")</f>
        <v/>
      </c>
    </row>
    <row r="341">
      <c r="A341" s="18" t="n"/>
      <c r="F341" s="21" t="n"/>
      <c r="G341" s="22">
        <f>IF(ISNUMBER(A341),IF(A341&lt;MIN('IRS Rates'!$A$2:$A$21),"No rate",VLOOKUP(A341,'IRS Rates'!$A$2:$B$21,2,TRUE)),"")</f>
        <v/>
      </c>
      <c r="H341" s="20">
        <f>IF(AND(ISNUMBER(F341),ISNUMBER(G341)),ROUND(F341*G341,2),"")</f>
        <v/>
      </c>
    </row>
    <row r="342">
      <c r="A342" s="18" t="n"/>
      <c r="F342" s="21" t="n"/>
      <c r="G342" s="22">
        <f>IF(ISNUMBER(A342),IF(A342&lt;MIN('IRS Rates'!$A$2:$A$21),"No rate",VLOOKUP(A342,'IRS Rates'!$A$2:$B$21,2,TRUE)),"")</f>
        <v/>
      </c>
      <c r="H342" s="20">
        <f>IF(AND(ISNUMBER(F342),ISNUMBER(G342)),ROUND(F342*G342,2),"")</f>
        <v/>
      </c>
    </row>
    <row r="343">
      <c r="A343" s="18" t="n"/>
      <c r="F343" s="21" t="n"/>
      <c r="G343" s="22">
        <f>IF(ISNUMBER(A343),IF(A343&lt;MIN('IRS Rates'!$A$2:$A$21),"No rate",VLOOKUP(A343,'IRS Rates'!$A$2:$B$21,2,TRUE)),"")</f>
        <v/>
      </c>
      <c r="H343" s="20">
        <f>IF(AND(ISNUMBER(F343),ISNUMBER(G343)),ROUND(F343*G343,2),"")</f>
        <v/>
      </c>
    </row>
    <row r="344">
      <c r="A344" s="18" t="n"/>
      <c r="F344" s="21" t="n"/>
      <c r="G344" s="22">
        <f>IF(ISNUMBER(A344),IF(A344&lt;MIN('IRS Rates'!$A$2:$A$21),"No rate",VLOOKUP(A344,'IRS Rates'!$A$2:$B$21,2,TRUE)),"")</f>
        <v/>
      </c>
      <c r="H344" s="20">
        <f>IF(AND(ISNUMBER(F344),ISNUMBER(G344)),ROUND(F344*G344,2),"")</f>
        <v/>
      </c>
    </row>
    <row r="345">
      <c r="A345" s="18" t="n"/>
      <c r="F345" s="21" t="n"/>
      <c r="G345" s="22">
        <f>IF(ISNUMBER(A345),IF(A345&lt;MIN('IRS Rates'!$A$2:$A$21),"No rate",VLOOKUP(A345,'IRS Rates'!$A$2:$B$21,2,TRUE)),"")</f>
        <v/>
      </c>
      <c r="H345" s="20">
        <f>IF(AND(ISNUMBER(F345),ISNUMBER(G345)),ROUND(F345*G345,2),"")</f>
        <v/>
      </c>
    </row>
    <row r="346">
      <c r="A346" s="18" t="n"/>
      <c r="F346" s="21" t="n"/>
      <c r="G346" s="22">
        <f>IF(ISNUMBER(A346),IF(A346&lt;MIN('IRS Rates'!$A$2:$A$21),"No rate",VLOOKUP(A346,'IRS Rates'!$A$2:$B$21,2,TRUE)),"")</f>
        <v/>
      </c>
      <c r="H346" s="20">
        <f>IF(AND(ISNUMBER(F346),ISNUMBER(G346)),ROUND(F346*G346,2),"")</f>
        <v/>
      </c>
    </row>
    <row r="347">
      <c r="A347" s="18" t="n"/>
      <c r="F347" s="21" t="n"/>
      <c r="G347" s="22">
        <f>IF(ISNUMBER(A347),IF(A347&lt;MIN('IRS Rates'!$A$2:$A$21),"No rate",VLOOKUP(A347,'IRS Rates'!$A$2:$B$21,2,TRUE)),"")</f>
        <v/>
      </c>
      <c r="H347" s="20">
        <f>IF(AND(ISNUMBER(F347),ISNUMBER(G347)),ROUND(F347*G347,2),"")</f>
        <v/>
      </c>
    </row>
    <row r="348">
      <c r="A348" s="18" t="n"/>
      <c r="F348" s="21" t="n"/>
      <c r="G348" s="22">
        <f>IF(ISNUMBER(A348),IF(A348&lt;MIN('IRS Rates'!$A$2:$A$21),"No rate",VLOOKUP(A348,'IRS Rates'!$A$2:$B$21,2,TRUE)),"")</f>
        <v/>
      </c>
      <c r="H348" s="20">
        <f>IF(AND(ISNUMBER(F348),ISNUMBER(G348)),ROUND(F348*G348,2),"")</f>
        <v/>
      </c>
    </row>
    <row r="349">
      <c r="A349" s="18" t="n"/>
      <c r="F349" s="21" t="n"/>
      <c r="G349" s="22">
        <f>IF(ISNUMBER(A349),IF(A349&lt;MIN('IRS Rates'!$A$2:$A$21),"No rate",VLOOKUP(A349,'IRS Rates'!$A$2:$B$21,2,TRUE)),"")</f>
        <v/>
      </c>
      <c r="H349" s="20">
        <f>IF(AND(ISNUMBER(F349),ISNUMBER(G349)),ROUND(F349*G349,2),"")</f>
        <v/>
      </c>
    </row>
    <row r="350">
      <c r="A350" s="18" t="n"/>
      <c r="F350" s="21" t="n"/>
      <c r="G350" s="22">
        <f>IF(ISNUMBER(A350),IF(A350&lt;MIN('IRS Rates'!$A$2:$A$21),"No rate",VLOOKUP(A350,'IRS Rates'!$A$2:$B$21,2,TRUE)),"")</f>
        <v/>
      </c>
      <c r="H350" s="20">
        <f>IF(AND(ISNUMBER(F350),ISNUMBER(G350)),ROUND(F350*G350,2),"")</f>
        <v/>
      </c>
    </row>
    <row r="351">
      <c r="A351" s="18" t="n"/>
      <c r="F351" s="21" t="n"/>
      <c r="G351" s="22">
        <f>IF(ISNUMBER(A351),IF(A351&lt;MIN('IRS Rates'!$A$2:$A$21),"No rate",VLOOKUP(A351,'IRS Rates'!$A$2:$B$21,2,TRUE)),"")</f>
        <v/>
      </c>
      <c r="H351" s="20">
        <f>IF(AND(ISNUMBER(F351),ISNUMBER(G351)),ROUND(F351*G351,2),"")</f>
        <v/>
      </c>
    </row>
    <row r="352">
      <c r="A352" s="18" t="n"/>
      <c r="F352" s="21" t="n"/>
      <c r="G352" s="22">
        <f>IF(ISNUMBER(A352),IF(A352&lt;MIN('IRS Rates'!$A$2:$A$21),"No rate",VLOOKUP(A352,'IRS Rates'!$A$2:$B$21,2,TRUE)),"")</f>
        <v/>
      </c>
      <c r="H352" s="20">
        <f>IF(AND(ISNUMBER(F352),ISNUMBER(G352)),ROUND(F352*G352,2),"")</f>
        <v/>
      </c>
    </row>
    <row r="353">
      <c r="A353" s="18" t="n"/>
      <c r="F353" s="21" t="n"/>
      <c r="G353" s="22">
        <f>IF(ISNUMBER(A353),IF(A353&lt;MIN('IRS Rates'!$A$2:$A$21),"No rate",VLOOKUP(A353,'IRS Rates'!$A$2:$B$21,2,TRUE)),"")</f>
        <v/>
      </c>
      <c r="H353" s="20">
        <f>IF(AND(ISNUMBER(F353),ISNUMBER(G353)),ROUND(F353*G353,2),"")</f>
        <v/>
      </c>
    </row>
    <row r="354">
      <c r="A354" s="18" t="n"/>
      <c r="F354" s="21" t="n"/>
      <c r="G354" s="22">
        <f>IF(ISNUMBER(A354),IF(A354&lt;MIN('IRS Rates'!$A$2:$A$21),"No rate",VLOOKUP(A354,'IRS Rates'!$A$2:$B$21,2,TRUE)),"")</f>
        <v/>
      </c>
      <c r="H354" s="20">
        <f>IF(AND(ISNUMBER(F354),ISNUMBER(G354)),ROUND(F354*G354,2),"")</f>
        <v/>
      </c>
    </row>
    <row r="355">
      <c r="A355" s="18" t="n"/>
      <c r="F355" s="21" t="n"/>
      <c r="G355" s="22">
        <f>IF(ISNUMBER(A355),IF(A355&lt;MIN('IRS Rates'!$A$2:$A$21),"No rate",VLOOKUP(A355,'IRS Rates'!$A$2:$B$21,2,TRUE)),"")</f>
        <v/>
      </c>
      <c r="H355" s="20">
        <f>IF(AND(ISNUMBER(F355),ISNUMBER(G355)),ROUND(F355*G355,2),"")</f>
        <v/>
      </c>
    </row>
    <row r="356">
      <c r="A356" s="18" t="n"/>
      <c r="F356" s="21" t="n"/>
      <c r="G356" s="22">
        <f>IF(ISNUMBER(A356),IF(A356&lt;MIN('IRS Rates'!$A$2:$A$21),"No rate",VLOOKUP(A356,'IRS Rates'!$A$2:$B$21,2,TRUE)),"")</f>
        <v/>
      </c>
      <c r="H356" s="20">
        <f>IF(AND(ISNUMBER(F356),ISNUMBER(G356)),ROUND(F356*G356,2),"")</f>
        <v/>
      </c>
    </row>
    <row r="357">
      <c r="A357" s="18" t="n"/>
      <c r="F357" s="21" t="n"/>
      <c r="G357" s="22">
        <f>IF(ISNUMBER(A357),IF(A357&lt;MIN('IRS Rates'!$A$2:$A$21),"No rate",VLOOKUP(A357,'IRS Rates'!$A$2:$B$21,2,TRUE)),"")</f>
        <v/>
      </c>
      <c r="H357" s="20">
        <f>IF(AND(ISNUMBER(F357),ISNUMBER(G357)),ROUND(F357*G357,2),"")</f>
        <v/>
      </c>
    </row>
    <row r="358">
      <c r="A358" s="18" t="n"/>
      <c r="F358" s="21" t="n"/>
      <c r="G358" s="22">
        <f>IF(ISNUMBER(A358),IF(A358&lt;MIN('IRS Rates'!$A$2:$A$21),"No rate",VLOOKUP(A358,'IRS Rates'!$A$2:$B$21,2,TRUE)),"")</f>
        <v/>
      </c>
      <c r="H358" s="20">
        <f>IF(AND(ISNUMBER(F358),ISNUMBER(G358)),ROUND(F358*G358,2),"")</f>
        <v/>
      </c>
    </row>
    <row r="359">
      <c r="A359" s="18" t="n"/>
      <c r="F359" s="21" t="n"/>
      <c r="G359" s="22">
        <f>IF(ISNUMBER(A359),IF(A359&lt;MIN('IRS Rates'!$A$2:$A$21),"No rate",VLOOKUP(A359,'IRS Rates'!$A$2:$B$21,2,TRUE)),"")</f>
        <v/>
      </c>
      <c r="H359" s="20">
        <f>IF(AND(ISNUMBER(F359),ISNUMBER(G359)),ROUND(F359*G359,2),"")</f>
        <v/>
      </c>
    </row>
    <row r="360">
      <c r="A360" s="18" t="n"/>
      <c r="F360" s="21" t="n"/>
      <c r="G360" s="22">
        <f>IF(ISNUMBER(A360),IF(A360&lt;MIN('IRS Rates'!$A$2:$A$21),"No rate",VLOOKUP(A360,'IRS Rates'!$A$2:$B$21,2,TRUE)),"")</f>
        <v/>
      </c>
      <c r="H360" s="20">
        <f>IF(AND(ISNUMBER(F360),ISNUMBER(G360)),ROUND(F360*G360,2),"")</f>
        <v/>
      </c>
    </row>
    <row r="361">
      <c r="A361" s="18" t="n"/>
      <c r="F361" s="21" t="n"/>
      <c r="G361" s="22">
        <f>IF(ISNUMBER(A361),IF(A361&lt;MIN('IRS Rates'!$A$2:$A$21),"No rate",VLOOKUP(A361,'IRS Rates'!$A$2:$B$21,2,TRUE)),"")</f>
        <v/>
      </c>
      <c r="H361" s="20">
        <f>IF(AND(ISNUMBER(F361),ISNUMBER(G361)),ROUND(F361*G361,2),"")</f>
        <v/>
      </c>
    </row>
    <row r="362">
      <c r="A362" s="18" t="n"/>
      <c r="F362" s="21" t="n"/>
      <c r="G362" s="22">
        <f>IF(ISNUMBER(A362),IF(A362&lt;MIN('IRS Rates'!$A$2:$A$21),"No rate",VLOOKUP(A362,'IRS Rates'!$A$2:$B$21,2,TRUE)),"")</f>
        <v/>
      </c>
      <c r="H362" s="20">
        <f>IF(AND(ISNUMBER(F362),ISNUMBER(G362)),ROUND(F362*G362,2),"")</f>
        <v/>
      </c>
    </row>
    <row r="363">
      <c r="A363" s="18" t="n"/>
      <c r="F363" s="21" t="n"/>
      <c r="G363" s="22">
        <f>IF(ISNUMBER(A363),IF(A363&lt;MIN('IRS Rates'!$A$2:$A$21),"No rate",VLOOKUP(A363,'IRS Rates'!$A$2:$B$21,2,TRUE)),"")</f>
        <v/>
      </c>
      <c r="H363" s="20">
        <f>IF(AND(ISNUMBER(F363),ISNUMBER(G363)),ROUND(F363*G363,2),"")</f>
        <v/>
      </c>
    </row>
    <row r="364">
      <c r="A364" s="18" t="n"/>
      <c r="F364" s="21" t="n"/>
      <c r="G364" s="22">
        <f>IF(ISNUMBER(A364),IF(A364&lt;MIN('IRS Rates'!$A$2:$A$21),"No rate",VLOOKUP(A364,'IRS Rates'!$A$2:$B$21,2,TRUE)),"")</f>
        <v/>
      </c>
      <c r="H364" s="20">
        <f>IF(AND(ISNUMBER(F364),ISNUMBER(G364)),ROUND(F364*G364,2),"")</f>
        <v/>
      </c>
    </row>
    <row r="365">
      <c r="A365" s="18" t="n"/>
      <c r="F365" s="21" t="n"/>
      <c r="G365" s="22">
        <f>IF(ISNUMBER(A365),IF(A365&lt;MIN('IRS Rates'!$A$2:$A$21),"No rate",VLOOKUP(A365,'IRS Rates'!$A$2:$B$21,2,TRUE)),"")</f>
        <v/>
      </c>
      <c r="H365" s="20">
        <f>IF(AND(ISNUMBER(F365),ISNUMBER(G365)),ROUND(F365*G365,2),"")</f>
        <v/>
      </c>
    </row>
    <row r="366">
      <c r="A366" s="18" t="n"/>
      <c r="F366" s="21" t="n"/>
      <c r="G366" s="22">
        <f>IF(ISNUMBER(A366),IF(A366&lt;MIN('IRS Rates'!$A$2:$A$21),"No rate",VLOOKUP(A366,'IRS Rates'!$A$2:$B$21,2,TRUE)),"")</f>
        <v/>
      </c>
      <c r="H366" s="20">
        <f>IF(AND(ISNUMBER(F366),ISNUMBER(G366)),ROUND(F366*G366,2),"")</f>
        <v/>
      </c>
    </row>
    <row r="367">
      <c r="A367" s="18" t="n"/>
      <c r="F367" s="21" t="n"/>
      <c r="G367" s="22">
        <f>IF(ISNUMBER(A367),IF(A367&lt;MIN('IRS Rates'!$A$2:$A$21),"No rate",VLOOKUP(A367,'IRS Rates'!$A$2:$B$21,2,TRUE)),"")</f>
        <v/>
      </c>
      <c r="H367" s="20">
        <f>IF(AND(ISNUMBER(F367),ISNUMBER(G367)),ROUND(F367*G367,2),"")</f>
        <v/>
      </c>
    </row>
    <row r="368">
      <c r="A368" s="18" t="n"/>
      <c r="F368" s="21" t="n"/>
      <c r="G368" s="22">
        <f>IF(ISNUMBER(A368),IF(A368&lt;MIN('IRS Rates'!$A$2:$A$21),"No rate",VLOOKUP(A368,'IRS Rates'!$A$2:$B$21,2,TRUE)),"")</f>
        <v/>
      </c>
      <c r="H368" s="20">
        <f>IF(AND(ISNUMBER(F368),ISNUMBER(G368)),ROUND(F368*G368,2),"")</f>
        <v/>
      </c>
    </row>
    <row r="369">
      <c r="A369" s="18" t="n"/>
      <c r="F369" s="21" t="n"/>
      <c r="G369" s="22">
        <f>IF(ISNUMBER(A369),IF(A369&lt;MIN('IRS Rates'!$A$2:$A$21),"No rate",VLOOKUP(A369,'IRS Rates'!$A$2:$B$21,2,TRUE)),"")</f>
        <v/>
      </c>
      <c r="H369" s="20">
        <f>IF(AND(ISNUMBER(F369),ISNUMBER(G369)),ROUND(F369*G369,2),"")</f>
        <v/>
      </c>
    </row>
    <row r="370">
      <c r="A370" s="18" t="n"/>
      <c r="F370" s="21" t="n"/>
      <c r="G370" s="22">
        <f>IF(ISNUMBER(A370),IF(A370&lt;MIN('IRS Rates'!$A$2:$A$21),"No rate",VLOOKUP(A370,'IRS Rates'!$A$2:$B$21,2,TRUE)),"")</f>
        <v/>
      </c>
      <c r="H370" s="20">
        <f>IF(AND(ISNUMBER(F370),ISNUMBER(G370)),ROUND(F370*G370,2),"")</f>
        <v/>
      </c>
    </row>
    <row r="371">
      <c r="A371" s="18" t="n"/>
      <c r="F371" s="21" t="n"/>
      <c r="G371" s="22">
        <f>IF(ISNUMBER(A371),IF(A371&lt;MIN('IRS Rates'!$A$2:$A$21),"No rate",VLOOKUP(A371,'IRS Rates'!$A$2:$B$21,2,TRUE)),"")</f>
        <v/>
      </c>
      <c r="H371" s="20">
        <f>IF(AND(ISNUMBER(F371),ISNUMBER(G371)),ROUND(F371*G371,2),"")</f>
        <v/>
      </c>
    </row>
    <row r="372">
      <c r="A372" s="18" t="n"/>
      <c r="F372" s="21" t="n"/>
      <c r="G372" s="22">
        <f>IF(ISNUMBER(A372),IF(A372&lt;MIN('IRS Rates'!$A$2:$A$21),"No rate",VLOOKUP(A372,'IRS Rates'!$A$2:$B$21,2,TRUE)),"")</f>
        <v/>
      </c>
      <c r="H372" s="20">
        <f>IF(AND(ISNUMBER(F372),ISNUMBER(G372)),ROUND(F372*G372,2),"")</f>
        <v/>
      </c>
    </row>
    <row r="373">
      <c r="A373" s="18" t="n"/>
      <c r="F373" s="21" t="n"/>
      <c r="G373" s="22">
        <f>IF(ISNUMBER(A373),IF(A373&lt;MIN('IRS Rates'!$A$2:$A$21),"No rate",VLOOKUP(A373,'IRS Rates'!$A$2:$B$21,2,TRUE)),"")</f>
        <v/>
      </c>
      <c r="H373" s="20">
        <f>IF(AND(ISNUMBER(F373),ISNUMBER(G373)),ROUND(F373*G373,2),"")</f>
        <v/>
      </c>
    </row>
    <row r="374">
      <c r="A374" s="18" t="n"/>
      <c r="F374" s="21" t="n"/>
      <c r="G374" s="22">
        <f>IF(ISNUMBER(A374),IF(A374&lt;MIN('IRS Rates'!$A$2:$A$21),"No rate",VLOOKUP(A374,'IRS Rates'!$A$2:$B$21,2,TRUE)),"")</f>
        <v/>
      </c>
      <c r="H374" s="20">
        <f>IF(AND(ISNUMBER(F374),ISNUMBER(G374)),ROUND(F374*G374,2),"")</f>
        <v/>
      </c>
    </row>
    <row r="375">
      <c r="A375" s="18" t="n"/>
      <c r="F375" s="21" t="n"/>
      <c r="G375" s="22">
        <f>IF(ISNUMBER(A375),IF(A375&lt;MIN('IRS Rates'!$A$2:$A$21),"No rate",VLOOKUP(A375,'IRS Rates'!$A$2:$B$21,2,TRUE)),"")</f>
        <v/>
      </c>
      <c r="H375" s="20">
        <f>IF(AND(ISNUMBER(F375),ISNUMBER(G375)),ROUND(F375*G375,2),"")</f>
        <v/>
      </c>
    </row>
    <row r="376">
      <c r="A376" s="18" t="n"/>
      <c r="F376" s="21" t="n"/>
      <c r="G376" s="22">
        <f>IF(ISNUMBER(A376),IF(A376&lt;MIN('IRS Rates'!$A$2:$A$21),"No rate",VLOOKUP(A376,'IRS Rates'!$A$2:$B$21,2,TRUE)),"")</f>
        <v/>
      </c>
      <c r="H376" s="20">
        <f>IF(AND(ISNUMBER(F376),ISNUMBER(G376)),ROUND(F376*G376,2),"")</f>
        <v/>
      </c>
    </row>
    <row r="377">
      <c r="A377" s="18" t="n"/>
      <c r="F377" s="21" t="n"/>
      <c r="G377" s="22">
        <f>IF(ISNUMBER(A377),IF(A377&lt;MIN('IRS Rates'!$A$2:$A$21),"No rate",VLOOKUP(A377,'IRS Rates'!$A$2:$B$21,2,TRUE)),"")</f>
        <v/>
      </c>
      <c r="H377" s="20">
        <f>IF(AND(ISNUMBER(F377),ISNUMBER(G377)),ROUND(F377*G377,2),"")</f>
        <v/>
      </c>
    </row>
    <row r="378">
      <c r="A378" s="18" t="n"/>
      <c r="F378" s="21" t="n"/>
      <c r="G378" s="22">
        <f>IF(ISNUMBER(A378),IF(A378&lt;MIN('IRS Rates'!$A$2:$A$21),"No rate",VLOOKUP(A378,'IRS Rates'!$A$2:$B$21,2,TRUE)),"")</f>
        <v/>
      </c>
      <c r="H378" s="20">
        <f>IF(AND(ISNUMBER(F378),ISNUMBER(G378)),ROUND(F378*G378,2),"")</f>
        <v/>
      </c>
    </row>
    <row r="379">
      <c r="A379" s="18" t="n"/>
      <c r="F379" s="21" t="n"/>
      <c r="G379" s="22">
        <f>IF(ISNUMBER(A379),IF(A379&lt;MIN('IRS Rates'!$A$2:$A$21),"No rate",VLOOKUP(A379,'IRS Rates'!$A$2:$B$21,2,TRUE)),"")</f>
        <v/>
      </c>
      <c r="H379" s="20">
        <f>IF(AND(ISNUMBER(F379),ISNUMBER(G379)),ROUND(F379*G379,2),"")</f>
        <v/>
      </c>
    </row>
    <row r="380">
      <c r="A380" s="18" t="n"/>
      <c r="F380" s="21" t="n"/>
      <c r="G380" s="22">
        <f>IF(ISNUMBER(A380),IF(A380&lt;MIN('IRS Rates'!$A$2:$A$21),"No rate",VLOOKUP(A380,'IRS Rates'!$A$2:$B$21,2,TRUE)),"")</f>
        <v/>
      </c>
      <c r="H380" s="20">
        <f>IF(AND(ISNUMBER(F380),ISNUMBER(G380)),ROUND(F380*G380,2),"")</f>
        <v/>
      </c>
    </row>
    <row r="381">
      <c r="A381" s="18" t="n"/>
      <c r="F381" s="21" t="n"/>
      <c r="G381" s="22">
        <f>IF(ISNUMBER(A381),IF(A381&lt;MIN('IRS Rates'!$A$2:$A$21),"No rate",VLOOKUP(A381,'IRS Rates'!$A$2:$B$21,2,TRUE)),"")</f>
        <v/>
      </c>
      <c r="H381" s="20">
        <f>IF(AND(ISNUMBER(F381),ISNUMBER(G381)),ROUND(F381*G381,2),"")</f>
        <v/>
      </c>
    </row>
    <row r="382">
      <c r="A382" s="18" t="n"/>
      <c r="F382" s="21" t="n"/>
      <c r="G382" s="22">
        <f>IF(ISNUMBER(A382),IF(A382&lt;MIN('IRS Rates'!$A$2:$A$21),"No rate",VLOOKUP(A382,'IRS Rates'!$A$2:$B$21,2,TRUE)),"")</f>
        <v/>
      </c>
      <c r="H382" s="20">
        <f>IF(AND(ISNUMBER(F382),ISNUMBER(G382)),ROUND(F382*G382,2),"")</f>
        <v/>
      </c>
    </row>
    <row r="383">
      <c r="A383" s="18" t="n"/>
      <c r="F383" s="21" t="n"/>
      <c r="G383" s="22">
        <f>IF(ISNUMBER(A383),IF(A383&lt;MIN('IRS Rates'!$A$2:$A$21),"No rate",VLOOKUP(A383,'IRS Rates'!$A$2:$B$21,2,TRUE)),"")</f>
        <v/>
      </c>
      <c r="H383" s="20">
        <f>IF(AND(ISNUMBER(F383),ISNUMBER(G383)),ROUND(F383*G383,2),"")</f>
        <v/>
      </c>
    </row>
    <row r="384">
      <c r="A384" s="18" t="n"/>
      <c r="F384" s="21" t="n"/>
      <c r="G384" s="22">
        <f>IF(ISNUMBER(A384),IF(A384&lt;MIN('IRS Rates'!$A$2:$A$21),"No rate",VLOOKUP(A384,'IRS Rates'!$A$2:$B$21,2,TRUE)),"")</f>
        <v/>
      </c>
      <c r="H384" s="20">
        <f>IF(AND(ISNUMBER(F384),ISNUMBER(G384)),ROUND(F384*G384,2),"")</f>
        <v/>
      </c>
    </row>
    <row r="385">
      <c r="A385" s="18" t="n"/>
      <c r="F385" s="21" t="n"/>
      <c r="G385" s="22">
        <f>IF(ISNUMBER(A385),IF(A385&lt;MIN('IRS Rates'!$A$2:$A$21),"No rate",VLOOKUP(A385,'IRS Rates'!$A$2:$B$21,2,TRUE)),"")</f>
        <v/>
      </c>
      <c r="H385" s="20">
        <f>IF(AND(ISNUMBER(F385),ISNUMBER(G385)),ROUND(F385*G385,2),"")</f>
        <v/>
      </c>
    </row>
    <row r="386">
      <c r="A386" s="18" t="n"/>
      <c r="F386" s="21" t="n"/>
      <c r="G386" s="22">
        <f>IF(ISNUMBER(A386),IF(A386&lt;MIN('IRS Rates'!$A$2:$A$21),"No rate",VLOOKUP(A386,'IRS Rates'!$A$2:$B$21,2,TRUE)),"")</f>
        <v/>
      </c>
      <c r="H386" s="20">
        <f>IF(AND(ISNUMBER(F386),ISNUMBER(G386)),ROUND(F386*G386,2),"")</f>
        <v/>
      </c>
    </row>
    <row r="387">
      <c r="A387" s="18" t="n"/>
      <c r="F387" s="21" t="n"/>
      <c r="G387" s="22">
        <f>IF(ISNUMBER(A387),IF(A387&lt;MIN('IRS Rates'!$A$2:$A$21),"No rate",VLOOKUP(A387,'IRS Rates'!$A$2:$B$21,2,TRUE)),"")</f>
        <v/>
      </c>
      <c r="H387" s="20">
        <f>IF(AND(ISNUMBER(F387),ISNUMBER(G387)),ROUND(F387*G387,2),"")</f>
        <v/>
      </c>
    </row>
    <row r="388">
      <c r="A388" s="18" t="n"/>
      <c r="F388" s="21" t="n"/>
      <c r="G388" s="22">
        <f>IF(ISNUMBER(A388),IF(A388&lt;MIN('IRS Rates'!$A$2:$A$21),"No rate",VLOOKUP(A388,'IRS Rates'!$A$2:$B$21,2,TRUE)),"")</f>
        <v/>
      </c>
      <c r="H388" s="20">
        <f>IF(AND(ISNUMBER(F388),ISNUMBER(G388)),ROUND(F388*G388,2),"")</f>
        <v/>
      </c>
    </row>
    <row r="389">
      <c r="A389" s="18" t="n"/>
      <c r="F389" s="21" t="n"/>
      <c r="G389" s="22">
        <f>IF(ISNUMBER(A389),IF(A389&lt;MIN('IRS Rates'!$A$2:$A$21),"No rate",VLOOKUP(A389,'IRS Rates'!$A$2:$B$21,2,TRUE)),"")</f>
        <v/>
      </c>
      <c r="H389" s="20">
        <f>IF(AND(ISNUMBER(F389),ISNUMBER(G389)),ROUND(F389*G389,2),"")</f>
        <v/>
      </c>
    </row>
    <row r="390">
      <c r="A390" s="18" t="n"/>
      <c r="F390" s="21" t="n"/>
      <c r="G390" s="22">
        <f>IF(ISNUMBER(A390),IF(A390&lt;MIN('IRS Rates'!$A$2:$A$21),"No rate",VLOOKUP(A390,'IRS Rates'!$A$2:$B$21,2,TRUE)),"")</f>
        <v/>
      </c>
      <c r="H390" s="20">
        <f>IF(AND(ISNUMBER(F390),ISNUMBER(G390)),ROUND(F390*G390,2),"")</f>
        <v/>
      </c>
    </row>
    <row r="391">
      <c r="A391" s="18" t="n"/>
      <c r="F391" s="21" t="n"/>
      <c r="G391" s="22">
        <f>IF(ISNUMBER(A391),IF(A391&lt;MIN('IRS Rates'!$A$2:$A$21),"No rate",VLOOKUP(A391,'IRS Rates'!$A$2:$B$21,2,TRUE)),"")</f>
        <v/>
      </c>
      <c r="H391" s="20">
        <f>IF(AND(ISNUMBER(F391),ISNUMBER(G391)),ROUND(F391*G391,2),"")</f>
        <v/>
      </c>
    </row>
    <row r="392">
      <c r="A392" s="18" t="n"/>
      <c r="F392" s="21" t="n"/>
      <c r="G392" s="22">
        <f>IF(ISNUMBER(A392),IF(A392&lt;MIN('IRS Rates'!$A$2:$A$21),"No rate",VLOOKUP(A392,'IRS Rates'!$A$2:$B$21,2,TRUE)),"")</f>
        <v/>
      </c>
      <c r="H392" s="20">
        <f>IF(AND(ISNUMBER(F392),ISNUMBER(G392)),ROUND(F392*G392,2),"")</f>
        <v/>
      </c>
    </row>
    <row r="393">
      <c r="A393" s="18" t="n"/>
      <c r="F393" s="21" t="n"/>
      <c r="G393" s="22">
        <f>IF(ISNUMBER(A393),IF(A393&lt;MIN('IRS Rates'!$A$2:$A$21),"No rate",VLOOKUP(A393,'IRS Rates'!$A$2:$B$21,2,TRUE)),"")</f>
        <v/>
      </c>
      <c r="H393" s="20">
        <f>IF(AND(ISNUMBER(F393),ISNUMBER(G393)),ROUND(F393*G393,2),"")</f>
        <v/>
      </c>
    </row>
    <row r="394">
      <c r="A394" s="18" t="n"/>
      <c r="F394" s="21" t="n"/>
      <c r="G394" s="22">
        <f>IF(ISNUMBER(A394),IF(A394&lt;MIN('IRS Rates'!$A$2:$A$21),"No rate",VLOOKUP(A394,'IRS Rates'!$A$2:$B$21,2,TRUE)),"")</f>
        <v/>
      </c>
      <c r="H394" s="20">
        <f>IF(AND(ISNUMBER(F394),ISNUMBER(G394)),ROUND(F394*G394,2),"")</f>
        <v/>
      </c>
    </row>
    <row r="395">
      <c r="A395" s="18" t="n"/>
      <c r="F395" s="21" t="n"/>
      <c r="G395" s="22">
        <f>IF(ISNUMBER(A395),IF(A395&lt;MIN('IRS Rates'!$A$2:$A$21),"No rate",VLOOKUP(A395,'IRS Rates'!$A$2:$B$21,2,TRUE)),"")</f>
        <v/>
      </c>
      <c r="H395" s="20">
        <f>IF(AND(ISNUMBER(F395),ISNUMBER(G395)),ROUND(F395*G395,2),"")</f>
        <v/>
      </c>
    </row>
    <row r="396">
      <c r="A396" s="18" t="n"/>
      <c r="F396" s="21" t="n"/>
      <c r="G396" s="22">
        <f>IF(ISNUMBER(A396),IF(A396&lt;MIN('IRS Rates'!$A$2:$A$21),"No rate",VLOOKUP(A396,'IRS Rates'!$A$2:$B$21,2,TRUE)),"")</f>
        <v/>
      </c>
      <c r="H396" s="20">
        <f>IF(AND(ISNUMBER(F396),ISNUMBER(G396)),ROUND(F396*G396,2),"")</f>
        <v/>
      </c>
    </row>
    <row r="397">
      <c r="A397" s="18" t="n"/>
      <c r="F397" s="21" t="n"/>
      <c r="G397" s="22">
        <f>IF(ISNUMBER(A397),IF(A397&lt;MIN('IRS Rates'!$A$2:$A$21),"No rate",VLOOKUP(A397,'IRS Rates'!$A$2:$B$21,2,TRUE)),"")</f>
        <v/>
      </c>
      <c r="H397" s="20">
        <f>IF(AND(ISNUMBER(F397),ISNUMBER(G397)),ROUND(F397*G397,2),"")</f>
        <v/>
      </c>
    </row>
    <row r="398">
      <c r="A398" s="18" t="n"/>
      <c r="F398" s="21" t="n"/>
      <c r="G398" s="22">
        <f>IF(ISNUMBER(A398),IF(A398&lt;MIN('IRS Rates'!$A$2:$A$21),"No rate",VLOOKUP(A398,'IRS Rates'!$A$2:$B$21,2,TRUE)),"")</f>
        <v/>
      </c>
      <c r="H398" s="20">
        <f>IF(AND(ISNUMBER(F398),ISNUMBER(G398)),ROUND(F398*G398,2),"")</f>
        <v/>
      </c>
    </row>
    <row r="399">
      <c r="A399" s="18" t="n"/>
      <c r="F399" s="21" t="n"/>
      <c r="G399" s="22">
        <f>IF(ISNUMBER(A399),IF(A399&lt;MIN('IRS Rates'!$A$2:$A$21),"No rate",VLOOKUP(A399,'IRS Rates'!$A$2:$B$21,2,TRUE)),"")</f>
        <v/>
      </c>
      <c r="H399" s="20">
        <f>IF(AND(ISNUMBER(F399),ISNUMBER(G399)),ROUND(F399*G399,2),"")</f>
        <v/>
      </c>
    </row>
    <row r="400">
      <c r="A400" s="18" t="n"/>
      <c r="F400" s="21" t="n"/>
      <c r="G400" s="22">
        <f>IF(ISNUMBER(A400),IF(A400&lt;MIN('IRS Rates'!$A$2:$A$21),"No rate",VLOOKUP(A400,'IRS Rates'!$A$2:$B$21,2,TRUE)),"")</f>
        <v/>
      </c>
      <c r="H400" s="20">
        <f>IF(AND(ISNUMBER(F400),ISNUMBER(G400)),ROUND(F400*G400,2),"")</f>
        <v/>
      </c>
    </row>
    <row r="401">
      <c r="A401" s="18" t="n"/>
      <c r="F401" s="21" t="n"/>
      <c r="G401" s="22">
        <f>IF(ISNUMBER(A401),IF(A401&lt;MIN('IRS Rates'!$A$2:$A$21),"No rate",VLOOKUP(A401,'IRS Rates'!$A$2:$B$21,2,TRUE)),"")</f>
        <v/>
      </c>
      <c r="H401" s="20">
        <f>IF(AND(ISNUMBER(F401),ISNUMBER(G401)),ROUND(F401*G401,2),"")</f>
        <v/>
      </c>
    </row>
    <row r="402">
      <c r="A402" s="18" t="n"/>
      <c r="F402" s="21" t="n"/>
      <c r="G402" s="22">
        <f>IF(ISNUMBER(A402),IF(A402&lt;MIN('IRS Rates'!$A$2:$A$21),"No rate",VLOOKUP(A402,'IRS Rates'!$A$2:$B$21,2,TRUE)),"")</f>
        <v/>
      </c>
      <c r="H402" s="20">
        <f>IF(AND(ISNUMBER(F402),ISNUMBER(G402)),ROUND(F402*G402,2),"")</f>
        <v/>
      </c>
    </row>
    <row r="403">
      <c r="A403" s="18" t="n"/>
      <c r="F403" s="21" t="n"/>
      <c r="G403" s="22">
        <f>IF(ISNUMBER(A403),IF(A403&lt;MIN('IRS Rates'!$A$2:$A$21),"No rate",VLOOKUP(A403,'IRS Rates'!$A$2:$B$21,2,TRUE)),"")</f>
        <v/>
      </c>
      <c r="H403" s="20">
        <f>IF(AND(ISNUMBER(F403),ISNUMBER(G403)),ROUND(F403*G403,2),"")</f>
        <v/>
      </c>
    </row>
    <row r="404">
      <c r="A404" s="18" t="n"/>
      <c r="F404" s="21" t="n"/>
      <c r="G404" s="22">
        <f>IF(ISNUMBER(A404),IF(A404&lt;MIN('IRS Rates'!$A$2:$A$21),"No rate",VLOOKUP(A404,'IRS Rates'!$A$2:$B$21,2,TRUE)),"")</f>
        <v/>
      </c>
      <c r="H404" s="20">
        <f>IF(AND(ISNUMBER(F404),ISNUMBER(G404)),ROUND(F404*G404,2),"")</f>
        <v/>
      </c>
    </row>
    <row r="405">
      <c r="A405" s="18" t="n"/>
      <c r="F405" s="21" t="n"/>
      <c r="G405" s="22">
        <f>IF(ISNUMBER(A405),IF(A405&lt;MIN('IRS Rates'!$A$2:$A$21),"No rate",VLOOKUP(A405,'IRS Rates'!$A$2:$B$21,2,TRUE)),"")</f>
        <v/>
      </c>
      <c r="H405" s="20">
        <f>IF(AND(ISNUMBER(F405),ISNUMBER(G405)),ROUND(F405*G405,2),"")</f>
        <v/>
      </c>
    </row>
    <row r="406">
      <c r="A406" s="18" t="n"/>
      <c r="F406" s="21" t="n"/>
      <c r="G406" s="22">
        <f>IF(ISNUMBER(A406),IF(A406&lt;MIN('IRS Rates'!$A$2:$A$21),"No rate",VLOOKUP(A406,'IRS Rates'!$A$2:$B$21,2,TRUE)),"")</f>
        <v/>
      </c>
      <c r="H406" s="20">
        <f>IF(AND(ISNUMBER(F406),ISNUMBER(G406)),ROUND(F406*G406,2),"")</f>
        <v/>
      </c>
    </row>
    <row r="407">
      <c r="A407" s="18" t="n"/>
      <c r="F407" s="21" t="n"/>
      <c r="G407" s="22">
        <f>IF(ISNUMBER(A407),IF(A407&lt;MIN('IRS Rates'!$A$2:$A$21),"No rate",VLOOKUP(A407,'IRS Rates'!$A$2:$B$21,2,TRUE)),"")</f>
        <v/>
      </c>
      <c r="H407" s="20">
        <f>IF(AND(ISNUMBER(F407),ISNUMBER(G407)),ROUND(F407*G407,2),"")</f>
        <v/>
      </c>
    </row>
    <row r="408">
      <c r="A408" s="18" t="n"/>
      <c r="F408" s="21" t="n"/>
      <c r="G408" s="22">
        <f>IF(ISNUMBER(A408),IF(A408&lt;MIN('IRS Rates'!$A$2:$A$21),"No rate",VLOOKUP(A408,'IRS Rates'!$A$2:$B$21,2,TRUE)),"")</f>
        <v/>
      </c>
      <c r="H408" s="20">
        <f>IF(AND(ISNUMBER(F408),ISNUMBER(G408)),ROUND(F408*G408,2),"")</f>
        <v/>
      </c>
    </row>
    <row r="409">
      <c r="A409" s="18" t="n"/>
      <c r="F409" s="21" t="n"/>
      <c r="G409" s="22">
        <f>IF(ISNUMBER(A409),IF(A409&lt;MIN('IRS Rates'!$A$2:$A$21),"No rate",VLOOKUP(A409,'IRS Rates'!$A$2:$B$21,2,TRUE)),"")</f>
        <v/>
      </c>
      <c r="H409" s="20">
        <f>IF(AND(ISNUMBER(F409),ISNUMBER(G409)),ROUND(F409*G409,2),"")</f>
        <v/>
      </c>
    </row>
    <row r="410">
      <c r="A410" s="18" t="n"/>
      <c r="F410" s="21" t="n"/>
      <c r="G410" s="22">
        <f>IF(ISNUMBER(A410),IF(A410&lt;MIN('IRS Rates'!$A$2:$A$21),"No rate",VLOOKUP(A410,'IRS Rates'!$A$2:$B$21,2,TRUE)),"")</f>
        <v/>
      </c>
      <c r="H410" s="20">
        <f>IF(AND(ISNUMBER(F410),ISNUMBER(G410)),ROUND(F410*G410,2),"")</f>
        <v/>
      </c>
    </row>
    <row r="411">
      <c r="A411" s="18" t="n"/>
      <c r="F411" s="21" t="n"/>
      <c r="G411" s="22">
        <f>IF(ISNUMBER(A411),IF(A411&lt;MIN('IRS Rates'!$A$2:$A$21),"No rate",VLOOKUP(A411,'IRS Rates'!$A$2:$B$21,2,TRUE)),"")</f>
        <v/>
      </c>
      <c r="H411" s="20">
        <f>IF(AND(ISNUMBER(F411),ISNUMBER(G411)),ROUND(F411*G411,2),"")</f>
        <v/>
      </c>
    </row>
    <row r="412">
      <c r="A412" s="18" t="n"/>
      <c r="F412" s="21" t="n"/>
      <c r="G412" s="22">
        <f>IF(ISNUMBER(A412),IF(A412&lt;MIN('IRS Rates'!$A$2:$A$21),"No rate",VLOOKUP(A412,'IRS Rates'!$A$2:$B$21,2,TRUE)),"")</f>
        <v/>
      </c>
      <c r="H412" s="20">
        <f>IF(AND(ISNUMBER(F412),ISNUMBER(G412)),ROUND(F412*G412,2),"")</f>
        <v/>
      </c>
    </row>
    <row r="413">
      <c r="A413" s="18" t="n"/>
      <c r="F413" s="21" t="n"/>
      <c r="G413" s="22">
        <f>IF(ISNUMBER(A413),IF(A413&lt;MIN('IRS Rates'!$A$2:$A$21),"No rate",VLOOKUP(A413,'IRS Rates'!$A$2:$B$21,2,TRUE)),"")</f>
        <v/>
      </c>
      <c r="H413" s="20">
        <f>IF(AND(ISNUMBER(F413),ISNUMBER(G413)),ROUND(F413*G413,2),"")</f>
        <v/>
      </c>
    </row>
    <row r="414">
      <c r="A414" s="18" t="n"/>
      <c r="F414" s="21" t="n"/>
      <c r="G414" s="22">
        <f>IF(ISNUMBER(A414),IF(A414&lt;MIN('IRS Rates'!$A$2:$A$21),"No rate",VLOOKUP(A414,'IRS Rates'!$A$2:$B$21,2,TRUE)),"")</f>
        <v/>
      </c>
      <c r="H414" s="20">
        <f>IF(AND(ISNUMBER(F414),ISNUMBER(G414)),ROUND(F414*G414,2),"")</f>
        <v/>
      </c>
    </row>
    <row r="415">
      <c r="A415" s="18" t="n"/>
      <c r="F415" s="21" t="n"/>
      <c r="G415" s="22">
        <f>IF(ISNUMBER(A415),IF(A415&lt;MIN('IRS Rates'!$A$2:$A$21),"No rate",VLOOKUP(A415,'IRS Rates'!$A$2:$B$21,2,TRUE)),"")</f>
        <v/>
      </c>
      <c r="H415" s="20">
        <f>IF(AND(ISNUMBER(F415),ISNUMBER(G415)),ROUND(F415*G415,2),"")</f>
        <v/>
      </c>
    </row>
    <row r="416">
      <c r="A416" s="18" t="n"/>
      <c r="F416" s="21" t="n"/>
      <c r="G416" s="22">
        <f>IF(ISNUMBER(A416),IF(A416&lt;MIN('IRS Rates'!$A$2:$A$21),"No rate",VLOOKUP(A416,'IRS Rates'!$A$2:$B$21,2,TRUE)),"")</f>
        <v/>
      </c>
      <c r="H416" s="20">
        <f>IF(AND(ISNUMBER(F416),ISNUMBER(G416)),ROUND(F416*G416,2),"")</f>
        <v/>
      </c>
    </row>
    <row r="417">
      <c r="A417" s="18" t="n"/>
      <c r="F417" s="21" t="n"/>
      <c r="G417" s="22">
        <f>IF(ISNUMBER(A417),IF(A417&lt;MIN('IRS Rates'!$A$2:$A$21),"No rate",VLOOKUP(A417,'IRS Rates'!$A$2:$B$21,2,TRUE)),"")</f>
        <v/>
      </c>
      <c r="H417" s="20">
        <f>IF(AND(ISNUMBER(F417),ISNUMBER(G417)),ROUND(F417*G417,2),"")</f>
        <v/>
      </c>
    </row>
    <row r="418">
      <c r="A418" s="18" t="n"/>
      <c r="F418" s="21" t="n"/>
      <c r="G418" s="22">
        <f>IF(ISNUMBER(A418),IF(A418&lt;MIN('IRS Rates'!$A$2:$A$21),"No rate",VLOOKUP(A418,'IRS Rates'!$A$2:$B$21,2,TRUE)),"")</f>
        <v/>
      </c>
      <c r="H418" s="20">
        <f>IF(AND(ISNUMBER(F418),ISNUMBER(G418)),ROUND(F418*G418,2),"")</f>
        <v/>
      </c>
    </row>
    <row r="419">
      <c r="A419" s="18" t="n"/>
      <c r="F419" s="21" t="n"/>
      <c r="G419" s="22">
        <f>IF(ISNUMBER(A419),IF(A419&lt;MIN('IRS Rates'!$A$2:$A$21),"No rate",VLOOKUP(A419,'IRS Rates'!$A$2:$B$21,2,TRUE)),"")</f>
        <v/>
      </c>
      <c r="H419" s="20">
        <f>IF(AND(ISNUMBER(F419),ISNUMBER(G419)),ROUND(F419*G419,2),"")</f>
        <v/>
      </c>
    </row>
    <row r="420">
      <c r="A420" s="18" t="n"/>
      <c r="F420" s="21" t="n"/>
      <c r="G420" s="22">
        <f>IF(ISNUMBER(A420),IF(A420&lt;MIN('IRS Rates'!$A$2:$A$21),"No rate",VLOOKUP(A420,'IRS Rates'!$A$2:$B$21,2,TRUE)),"")</f>
        <v/>
      </c>
      <c r="H420" s="20">
        <f>IF(AND(ISNUMBER(F420),ISNUMBER(G420)),ROUND(F420*G420,2),"")</f>
        <v/>
      </c>
    </row>
    <row r="421">
      <c r="A421" s="18" t="n"/>
      <c r="F421" s="21" t="n"/>
      <c r="G421" s="22">
        <f>IF(ISNUMBER(A421),IF(A421&lt;MIN('IRS Rates'!$A$2:$A$21),"No rate",VLOOKUP(A421,'IRS Rates'!$A$2:$B$21,2,TRUE)),"")</f>
        <v/>
      </c>
      <c r="H421" s="20">
        <f>IF(AND(ISNUMBER(F421),ISNUMBER(G421)),ROUND(F421*G421,2),"")</f>
        <v/>
      </c>
    </row>
    <row r="422">
      <c r="A422" s="18" t="n"/>
      <c r="F422" s="21" t="n"/>
      <c r="G422" s="22">
        <f>IF(ISNUMBER(A422),IF(A422&lt;MIN('IRS Rates'!$A$2:$A$21),"No rate",VLOOKUP(A422,'IRS Rates'!$A$2:$B$21,2,TRUE)),"")</f>
        <v/>
      </c>
      <c r="H422" s="20">
        <f>IF(AND(ISNUMBER(F422),ISNUMBER(G422)),ROUND(F422*G422,2),"")</f>
        <v/>
      </c>
    </row>
    <row r="423">
      <c r="A423" s="18" t="n"/>
      <c r="F423" s="21" t="n"/>
      <c r="G423" s="22">
        <f>IF(ISNUMBER(A423),IF(A423&lt;MIN('IRS Rates'!$A$2:$A$21),"No rate",VLOOKUP(A423,'IRS Rates'!$A$2:$B$21,2,TRUE)),"")</f>
        <v/>
      </c>
      <c r="H423" s="20">
        <f>IF(AND(ISNUMBER(F423),ISNUMBER(G423)),ROUND(F423*G423,2),"")</f>
        <v/>
      </c>
    </row>
    <row r="424">
      <c r="A424" s="18" t="n"/>
      <c r="F424" s="21" t="n"/>
      <c r="G424" s="22">
        <f>IF(ISNUMBER(A424),IF(A424&lt;MIN('IRS Rates'!$A$2:$A$21),"No rate",VLOOKUP(A424,'IRS Rates'!$A$2:$B$21,2,TRUE)),"")</f>
        <v/>
      </c>
      <c r="H424" s="20">
        <f>IF(AND(ISNUMBER(F424),ISNUMBER(G424)),ROUND(F424*G424,2),"")</f>
        <v/>
      </c>
    </row>
    <row r="425">
      <c r="A425" s="18" t="n"/>
      <c r="F425" s="21" t="n"/>
      <c r="G425" s="22">
        <f>IF(ISNUMBER(A425),IF(A425&lt;MIN('IRS Rates'!$A$2:$A$21),"No rate",VLOOKUP(A425,'IRS Rates'!$A$2:$B$21,2,TRUE)),"")</f>
        <v/>
      </c>
      <c r="H425" s="20">
        <f>IF(AND(ISNUMBER(F425),ISNUMBER(G425)),ROUND(F425*G425,2),"")</f>
        <v/>
      </c>
    </row>
    <row r="426">
      <c r="A426" s="18" t="n"/>
      <c r="F426" s="21" t="n"/>
      <c r="G426" s="22">
        <f>IF(ISNUMBER(A426),IF(A426&lt;MIN('IRS Rates'!$A$2:$A$21),"No rate",VLOOKUP(A426,'IRS Rates'!$A$2:$B$21,2,TRUE)),"")</f>
        <v/>
      </c>
      <c r="H426" s="20">
        <f>IF(AND(ISNUMBER(F426),ISNUMBER(G426)),ROUND(F426*G426,2),"")</f>
        <v/>
      </c>
    </row>
    <row r="427">
      <c r="A427" s="18" t="n"/>
      <c r="F427" s="21" t="n"/>
      <c r="G427" s="22">
        <f>IF(ISNUMBER(A427),IF(A427&lt;MIN('IRS Rates'!$A$2:$A$21),"No rate",VLOOKUP(A427,'IRS Rates'!$A$2:$B$21,2,TRUE)),"")</f>
        <v/>
      </c>
      <c r="H427" s="20">
        <f>IF(AND(ISNUMBER(F427),ISNUMBER(G427)),ROUND(F427*G427,2),"")</f>
        <v/>
      </c>
    </row>
    <row r="428">
      <c r="A428" s="18" t="n"/>
      <c r="F428" s="21" t="n"/>
      <c r="G428" s="22">
        <f>IF(ISNUMBER(A428),IF(A428&lt;MIN('IRS Rates'!$A$2:$A$21),"No rate",VLOOKUP(A428,'IRS Rates'!$A$2:$B$21,2,TRUE)),"")</f>
        <v/>
      </c>
      <c r="H428" s="20">
        <f>IF(AND(ISNUMBER(F428),ISNUMBER(G428)),ROUND(F428*G428,2),"")</f>
        <v/>
      </c>
    </row>
    <row r="429">
      <c r="A429" s="18" t="n"/>
      <c r="F429" s="21" t="n"/>
      <c r="G429" s="22">
        <f>IF(ISNUMBER(A429),IF(A429&lt;MIN('IRS Rates'!$A$2:$A$21),"No rate",VLOOKUP(A429,'IRS Rates'!$A$2:$B$21,2,TRUE)),"")</f>
        <v/>
      </c>
      <c r="H429" s="20">
        <f>IF(AND(ISNUMBER(F429),ISNUMBER(G429)),ROUND(F429*G429,2),"")</f>
        <v/>
      </c>
    </row>
    <row r="430">
      <c r="A430" s="18" t="n"/>
      <c r="F430" s="21" t="n"/>
      <c r="G430" s="22">
        <f>IF(ISNUMBER(A430),IF(A430&lt;MIN('IRS Rates'!$A$2:$A$21),"No rate",VLOOKUP(A430,'IRS Rates'!$A$2:$B$21,2,TRUE)),"")</f>
        <v/>
      </c>
      <c r="H430" s="20">
        <f>IF(AND(ISNUMBER(F430),ISNUMBER(G430)),ROUND(F430*G430,2),"")</f>
        <v/>
      </c>
    </row>
    <row r="431">
      <c r="A431" s="18" t="n"/>
      <c r="F431" s="21" t="n"/>
      <c r="G431" s="22">
        <f>IF(ISNUMBER(A431),IF(A431&lt;MIN('IRS Rates'!$A$2:$A$21),"No rate",VLOOKUP(A431,'IRS Rates'!$A$2:$B$21,2,TRUE)),"")</f>
        <v/>
      </c>
      <c r="H431" s="20">
        <f>IF(AND(ISNUMBER(F431),ISNUMBER(G431)),ROUND(F431*G431,2),"")</f>
        <v/>
      </c>
    </row>
    <row r="432">
      <c r="A432" s="18" t="n"/>
      <c r="F432" s="21" t="n"/>
      <c r="G432" s="22">
        <f>IF(ISNUMBER(A432),IF(A432&lt;MIN('IRS Rates'!$A$2:$A$21),"No rate",VLOOKUP(A432,'IRS Rates'!$A$2:$B$21,2,TRUE)),"")</f>
        <v/>
      </c>
      <c r="H432" s="20">
        <f>IF(AND(ISNUMBER(F432),ISNUMBER(G432)),ROUND(F432*G432,2),"")</f>
        <v/>
      </c>
    </row>
    <row r="433">
      <c r="A433" s="18" t="n"/>
      <c r="F433" s="21" t="n"/>
      <c r="G433" s="22">
        <f>IF(ISNUMBER(A433),IF(A433&lt;MIN('IRS Rates'!$A$2:$A$21),"No rate",VLOOKUP(A433,'IRS Rates'!$A$2:$B$21,2,TRUE)),"")</f>
        <v/>
      </c>
      <c r="H433" s="20">
        <f>IF(AND(ISNUMBER(F433),ISNUMBER(G433)),ROUND(F433*G433,2),"")</f>
        <v/>
      </c>
    </row>
    <row r="434">
      <c r="A434" s="18" t="n"/>
      <c r="F434" s="21" t="n"/>
      <c r="G434" s="22">
        <f>IF(ISNUMBER(A434),IF(A434&lt;MIN('IRS Rates'!$A$2:$A$21),"No rate",VLOOKUP(A434,'IRS Rates'!$A$2:$B$21,2,TRUE)),"")</f>
        <v/>
      </c>
      <c r="H434" s="20">
        <f>IF(AND(ISNUMBER(F434),ISNUMBER(G434)),ROUND(F434*G434,2),"")</f>
        <v/>
      </c>
    </row>
    <row r="435">
      <c r="A435" s="18" t="n"/>
      <c r="F435" s="21" t="n"/>
      <c r="G435" s="22">
        <f>IF(ISNUMBER(A435),IF(A435&lt;MIN('IRS Rates'!$A$2:$A$21),"No rate",VLOOKUP(A435,'IRS Rates'!$A$2:$B$21,2,TRUE)),"")</f>
        <v/>
      </c>
      <c r="H435" s="20">
        <f>IF(AND(ISNUMBER(F435),ISNUMBER(G435)),ROUND(F435*G435,2),"")</f>
        <v/>
      </c>
    </row>
    <row r="436">
      <c r="A436" s="18" t="n"/>
      <c r="F436" s="21" t="n"/>
      <c r="G436" s="22">
        <f>IF(ISNUMBER(A436),IF(A436&lt;MIN('IRS Rates'!$A$2:$A$21),"No rate",VLOOKUP(A436,'IRS Rates'!$A$2:$B$21,2,TRUE)),"")</f>
        <v/>
      </c>
      <c r="H436" s="20">
        <f>IF(AND(ISNUMBER(F436),ISNUMBER(G436)),ROUND(F436*G436,2),"")</f>
        <v/>
      </c>
    </row>
    <row r="437">
      <c r="A437" s="18" t="n"/>
      <c r="F437" s="21" t="n"/>
      <c r="G437" s="22">
        <f>IF(ISNUMBER(A437),IF(A437&lt;MIN('IRS Rates'!$A$2:$A$21),"No rate",VLOOKUP(A437,'IRS Rates'!$A$2:$B$21,2,TRUE)),"")</f>
        <v/>
      </c>
      <c r="H437" s="20">
        <f>IF(AND(ISNUMBER(F437),ISNUMBER(G437)),ROUND(F437*G437,2),"")</f>
        <v/>
      </c>
    </row>
    <row r="438">
      <c r="A438" s="18" t="n"/>
      <c r="F438" s="21" t="n"/>
      <c r="G438" s="22">
        <f>IF(ISNUMBER(A438),IF(A438&lt;MIN('IRS Rates'!$A$2:$A$21),"No rate",VLOOKUP(A438,'IRS Rates'!$A$2:$B$21,2,TRUE)),"")</f>
        <v/>
      </c>
      <c r="H438" s="20">
        <f>IF(AND(ISNUMBER(F438),ISNUMBER(G438)),ROUND(F438*G438,2),"")</f>
        <v/>
      </c>
    </row>
    <row r="439">
      <c r="A439" s="18" t="n"/>
      <c r="F439" s="21" t="n"/>
      <c r="G439" s="22">
        <f>IF(ISNUMBER(A439),IF(A439&lt;MIN('IRS Rates'!$A$2:$A$21),"No rate",VLOOKUP(A439,'IRS Rates'!$A$2:$B$21,2,TRUE)),"")</f>
        <v/>
      </c>
      <c r="H439" s="20">
        <f>IF(AND(ISNUMBER(F439),ISNUMBER(G439)),ROUND(F439*G439,2),"")</f>
        <v/>
      </c>
    </row>
    <row r="440">
      <c r="A440" s="18" t="n"/>
      <c r="F440" s="21" t="n"/>
      <c r="G440" s="22">
        <f>IF(ISNUMBER(A440),IF(A440&lt;MIN('IRS Rates'!$A$2:$A$21),"No rate",VLOOKUP(A440,'IRS Rates'!$A$2:$B$21,2,TRUE)),"")</f>
        <v/>
      </c>
      <c r="H440" s="20">
        <f>IF(AND(ISNUMBER(F440),ISNUMBER(G440)),ROUND(F440*G440,2),"")</f>
        <v/>
      </c>
    </row>
    <row r="441">
      <c r="A441" s="18" t="n"/>
      <c r="F441" s="21" t="n"/>
      <c r="G441" s="22">
        <f>IF(ISNUMBER(A441),IF(A441&lt;MIN('IRS Rates'!$A$2:$A$21),"No rate",VLOOKUP(A441,'IRS Rates'!$A$2:$B$21,2,TRUE)),"")</f>
        <v/>
      </c>
      <c r="H441" s="20">
        <f>IF(AND(ISNUMBER(F441),ISNUMBER(G441)),ROUND(F441*G441,2),"")</f>
        <v/>
      </c>
    </row>
    <row r="442">
      <c r="A442" s="18" t="n"/>
      <c r="F442" s="21" t="n"/>
      <c r="G442" s="22">
        <f>IF(ISNUMBER(A442),IF(A442&lt;MIN('IRS Rates'!$A$2:$A$21),"No rate",VLOOKUP(A442,'IRS Rates'!$A$2:$B$21,2,TRUE)),"")</f>
        <v/>
      </c>
      <c r="H442" s="20">
        <f>IF(AND(ISNUMBER(F442),ISNUMBER(G442)),ROUND(F442*G442,2),"")</f>
        <v/>
      </c>
    </row>
    <row r="443">
      <c r="A443" s="18" t="n"/>
      <c r="F443" s="21" t="n"/>
      <c r="G443" s="22">
        <f>IF(ISNUMBER(A443),IF(A443&lt;MIN('IRS Rates'!$A$2:$A$21),"No rate",VLOOKUP(A443,'IRS Rates'!$A$2:$B$21,2,TRUE)),"")</f>
        <v/>
      </c>
      <c r="H443" s="20">
        <f>IF(AND(ISNUMBER(F443),ISNUMBER(G443)),ROUND(F443*G443,2),"")</f>
        <v/>
      </c>
    </row>
    <row r="444">
      <c r="A444" s="18" t="n"/>
      <c r="F444" s="21" t="n"/>
      <c r="G444" s="22">
        <f>IF(ISNUMBER(A444),IF(A444&lt;MIN('IRS Rates'!$A$2:$A$21),"No rate",VLOOKUP(A444,'IRS Rates'!$A$2:$B$21,2,TRUE)),"")</f>
        <v/>
      </c>
      <c r="H444" s="20">
        <f>IF(AND(ISNUMBER(F444),ISNUMBER(G444)),ROUND(F444*G444,2),"")</f>
        <v/>
      </c>
    </row>
    <row r="445">
      <c r="A445" s="18" t="n"/>
      <c r="F445" s="21" t="n"/>
      <c r="G445" s="22">
        <f>IF(ISNUMBER(A445),IF(A445&lt;MIN('IRS Rates'!$A$2:$A$21),"No rate",VLOOKUP(A445,'IRS Rates'!$A$2:$B$21,2,TRUE)),"")</f>
        <v/>
      </c>
      <c r="H445" s="20">
        <f>IF(AND(ISNUMBER(F445),ISNUMBER(G445)),ROUND(F445*G445,2),"")</f>
        <v/>
      </c>
    </row>
    <row r="446">
      <c r="A446" s="18" t="n"/>
      <c r="F446" s="21" t="n"/>
      <c r="G446" s="22">
        <f>IF(ISNUMBER(A446),IF(A446&lt;MIN('IRS Rates'!$A$2:$A$21),"No rate",VLOOKUP(A446,'IRS Rates'!$A$2:$B$21,2,TRUE)),"")</f>
        <v/>
      </c>
      <c r="H446" s="20">
        <f>IF(AND(ISNUMBER(F446),ISNUMBER(G446)),ROUND(F446*G446,2),"")</f>
        <v/>
      </c>
    </row>
    <row r="447">
      <c r="A447" s="18" t="n"/>
      <c r="F447" s="21" t="n"/>
      <c r="G447" s="22">
        <f>IF(ISNUMBER(A447),IF(A447&lt;MIN('IRS Rates'!$A$2:$A$21),"No rate",VLOOKUP(A447,'IRS Rates'!$A$2:$B$21,2,TRUE)),"")</f>
        <v/>
      </c>
      <c r="H447" s="20">
        <f>IF(AND(ISNUMBER(F447),ISNUMBER(G447)),ROUND(F447*G447,2),"")</f>
        <v/>
      </c>
    </row>
    <row r="448">
      <c r="A448" s="18" t="n"/>
      <c r="F448" s="21" t="n"/>
      <c r="G448" s="22">
        <f>IF(ISNUMBER(A448),IF(A448&lt;MIN('IRS Rates'!$A$2:$A$21),"No rate",VLOOKUP(A448,'IRS Rates'!$A$2:$B$21,2,TRUE)),"")</f>
        <v/>
      </c>
      <c r="H448" s="20">
        <f>IF(AND(ISNUMBER(F448),ISNUMBER(G448)),ROUND(F448*G448,2),"")</f>
        <v/>
      </c>
    </row>
    <row r="449">
      <c r="A449" s="18" t="n"/>
      <c r="F449" s="21" t="n"/>
      <c r="G449" s="22">
        <f>IF(ISNUMBER(A449),IF(A449&lt;MIN('IRS Rates'!$A$2:$A$21),"No rate",VLOOKUP(A449,'IRS Rates'!$A$2:$B$21,2,TRUE)),"")</f>
        <v/>
      </c>
      <c r="H449" s="20">
        <f>IF(AND(ISNUMBER(F449),ISNUMBER(G449)),ROUND(F449*G449,2),"")</f>
        <v/>
      </c>
    </row>
    <row r="450">
      <c r="A450" s="18" t="n"/>
      <c r="F450" s="21" t="n"/>
      <c r="G450" s="22">
        <f>IF(ISNUMBER(A450),IF(A450&lt;MIN('IRS Rates'!$A$2:$A$21),"No rate",VLOOKUP(A450,'IRS Rates'!$A$2:$B$21,2,TRUE)),"")</f>
        <v/>
      </c>
      <c r="H450" s="20">
        <f>IF(AND(ISNUMBER(F450),ISNUMBER(G450)),ROUND(F450*G450,2),"")</f>
        <v/>
      </c>
    </row>
    <row r="451">
      <c r="A451" s="18" t="n"/>
      <c r="F451" s="21" t="n"/>
      <c r="G451" s="22">
        <f>IF(ISNUMBER(A451),IF(A451&lt;MIN('IRS Rates'!$A$2:$A$21),"No rate",VLOOKUP(A451,'IRS Rates'!$A$2:$B$21,2,TRUE)),"")</f>
        <v/>
      </c>
      <c r="H451" s="20">
        <f>IF(AND(ISNUMBER(F451),ISNUMBER(G451)),ROUND(F451*G451,2),"")</f>
        <v/>
      </c>
    </row>
    <row r="452">
      <c r="A452" s="18" t="n"/>
      <c r="F452" s="21" t="n"/>
      <c r="G452" s="22">
        <f>IF(ISNUMBER(A452),IF(A452&lt;MIN('IRS Rates'!$A$2:$A$21),"No rate",VLOOKUP(A452,'IRS Rates'!$A$2:$B$21,2,TRUE)),"")</f>
        <v/>
      </c>
      <c r="H452" s="20">
        <f>IF(AND(ISNUMBER(F452),ISNUMBER(G452)),ROUND(F452*G452,2),"")</f>
        <v/>
      </c>
    </row>
    <row r="453">
      <c r="A453" s="18" t="n"/>
      <c r="F453" s="21" t="n"/>
      <c r="G453" s="22">
        <f>IF(ISNUMBER(A453),IF(A453&lt;MIN('IRS Rates'!$A$2:$A$21),"No rate",VLOOKUP(A453,'IRS Rates'!$A$2:$B$21,2,TRUE)),"")</f>
        <v/>
      </c>
      <c r="H453" s="20">
        <f>IF(AND(ISNUMBER(F453),ISNUMBER(G453)),ROUND(F453*G453,2),"")</f>
        <v/>
      </c>
    </row>
    <row r="454">
      <c r="A454" s="18" t="n"/>
      <c r="F454" s="21" t="n"/>
      <c r="G454" s="22">
        <f>IF(ISNUMBER(A454),IF(A454&lt;MIN('IRS Rates'!$A$2:$A$21),"No rate",VLOOKUP(A454,'IRS Rates'!$A$2:$B$21,2,TRUE)),"")</f>
        <v/>
      </c>
      <c r="H454" s="20">
        <f>IF(AND(ISNUMBER(F454),ISNUMBER(G454)),ROUND(F454*G454,2),"")</f>
        <v/>
      </c>
    </row>
    <row r="455">
      <c r="A455" s="18" t="n"/>
      <c r="F455" s="21" t="n"/>
      <c r="G455" s="22">
        <f>IF(ISNUMBER(A455),IF(A455&lt;MIN('IRS Rates'!$A$2:$A$21),"No rate",VLOOKUP(A455,'IRS Rates'!$A$2:$B$21,2,TRUE)),"")</f>
        <v/>
      </c>
      <c r="H455" s="20">
        <f>IF(AND(ISNUMBER(F455),ISNUMBER(G455)),ROUND(F455*G455,2),"")</f>
        <v/>
      </c>
    </row>
    <row r="456">
      <c r="A456" s="18" t="n"/>
      <c r="F456" s="21" t="n"/>
      <c r="G456" s="22">
        <f>IF(ISNUMBER(A456),IF(A456&lt;MIN('IRS Rates'!$A$2:$A$21),"No rate",VLOOKUP(A456,'IRS Rates'!$A$2:$B$21,2,TRUE)),"")</f>
        <v/>
      </c>
      <c r="H456" s="20">
        <f>IF(AND(ISNUMBER(F456),ISNUMBER(G456)),ROUND(F456*G456,2),"")</f>
        <v/>
      </c>
    </row>
    <row r="457">
      <c r="A457" s="18" t="n"/>
      <c r="F457" s="21" t="n"/>
      <c r="G457" s="22">
        <f>IF(ISNUMBER(A457),IF(A457&lt;MIN('IRS Rates'!$A$2:$A$21),"No rate",VLOOKUP(A457,'IRS Rates'!$A$2:$B$21,2,TRUE)),"")</f>
        <v/>
      </c>
      <c r="H457" s="20">
        <f>IF(AND(ISNUMBER(F457),ISNUMBER(G457)),ROUND(F457*G457,2),"")</f>
        <v/>
      </c>
    </row>
    <row r="458">
      <c r="A458" s="18" t="n"/>
      <c r="F458" s="21" t="n"/>
      <c r="G458" s="22">
        <f>IF(ISNUMBER(A458),IF(A458&lt;MIN('IRS Rates'!$A$2:$A$21),"No rate",VLOOKUP(A458,'IRS Rates'!$A$2:$B$21,2,TRUE)),"")</f>
        <v/>
      </c>
      <c r="H458" s="20">
        <f>IF(AND(ISNUMBER(F458),ISNUMBER(G458)),ROUND(F458*G458,2),"")</f>
        <v/>
      </c>
    </row>
    <row r="459">
      <c r="A459" s="18" t="n"/>
      <c r="F459" s="21" t="n"/>
      <c r="G459" s="22">
        <f>IF(ISNUMBER(A459),IF(A459&lt;MIN('IRS Rates'!$A$2:$A$21),"No rate",VLOOKUP(A459,'IRS Rates'!$A$2:$B$21,2,TRUE)),"")</f>
        <v/>
      </c>
      <c r="H459" s="20">
        <f>IF(AND(ISNUMBER(F459),ISNUMBER(G459)),ROUND(F459*G459,2),"")</f>
        <v/>
      </c>
    </row>
    <row r="460">
      <c r="A460" s="18" t="n"/>
      <c r="F460" s="21" t="n"/>
      <c r="G460" s="22">
        <f>IF(ISNUMBER(A460),IF(A460&lt;MIN('IRS Rates'!$A$2:$A$21),"No rate",VLOOKUP(A460,'IRS Rates'!$A$2:$B$21,2,TRUE)),"")</f>
        <v/>
      </c>
      <c r="H460" s="20">
        <f>IF(AND(ISNUMBER(F460),ISNUMBER(G460)),ROUND(F460*G460,2),"")</f>
        <v/>
      </c>
    </row>
    <row r="461">
      <c r="A461" s="18" t="n"/>
      <c r="F461" s="21" t="n"/>
      <c r="G461" s="22">
        <f>IF(ISNUMBER(A461),IF(A461&lt;MIN('IRS Rates'!$A$2:$A$21),"No rate",VLOOKUP(A461,'IRS Rates'!$A$2:$B$21,2,TRUE)),"")</f>
        <v/>
      </c>
      <c r="H461" s="20">
        <f>IF(AND(ISNUMBER(F461),ISNUMBER(G461)),ROUND(F461*G461,2),"")</f>
        <v/>
      </c>
    </row>
    <row r="462">
      <c r="A462" s="18" t="n"/>
      <c r="F462" s="21" t="n"/>
      <c r="G462" s="22">
        <f>IF(ISNUMBER(A462),IF(A462&lt;MIN('IRS Rates'!$A$2:$A$21),"No rate",VLOOKUP(A462,'IRS Rates'!$A$2:$B$21,2,TRUE)),"")</f>
        <v/>
      </c>
      <c r="H462" s="20">
        <f>IF(AND(ISNUMBER(F462),ISNUMBER(G462)),ROUND(F462*G462,2),"")</f>
        <v/>
      </c>
    </row>
    <row r="463">
      <c r="A463" s="18" t="n"/>
      <c r="F463" s="21" t="n"/>
      <c r="G463" s="22">
        <f>IF(ISNUMBER(A463),IF(A463&lt;MIN('IRS Rates'!$A$2:$A$21),"No rate",VLOOKUP(A463,'IRS Rates'!$A$2:$B$21,2,TRUE)),"")</f>
        <v/>
      </c>
      <c r="H463" s="20">
        <f>IF(AND(ISNUMBER(F463),ISNUMBER(G463)),ROUND(F463*G463,2),"")</f>
        <v/>
      </c>
    </row>
    <row r="464">
      <c r="A464" s="18" t="n"/>
      <c r="F464" s="21" t="n"/>
      <c r="G464" s="22">
        <f>IF(ISNUMBER(A464),IF(A464&lt;MIN('IRS Rates'!$A$2:$A$21),"No rate",VLOOKUP(A464,'IRS Rates'!$A$2:$B$21,2,TRUE)),"")</f>
        <v/>
      </c>
      <c r="H464" s="20">
        <f>IF(AND(ISNUMBER(F464),ISNUMBER(G464)),ROUND(F464*G464,2),"")</f>
        <v/>
      </c>
    </row>
    <row r="465">
      <c r="A465" s="18" t="n"/>
      <c r="F465" s="21" t="n"/>
      <c r="G465" s="22">
        <f>IF(ISNUMBER(A465),IF(A465&lt;MIN('IRS Rates'!$A$2:$A$21),"No rate",VLOOKUP(A465,'IRS Rates'!$A$2:$B$21,2,TRUE)),"")</f>
        <v/>
      </c>
      <c r="H465" s="20">
        <f>IF(AND(ISNUMBER(F465),ISNUMBER(G465)),ROUND(F465*G465,2),"")</f>
        <v/>
      </c>
    </row>
    <row r="466">
      <c r="A466" s="18" t="n"/>
      <c r="F466" s="21" t="n"/>
      <c r="G466" s="22">
        <f>IF(ISNUMBER(A466),IF(A466&lt;MIN('IRS Rates'!$A$2:$A$21),"No rate",VLOOKUP(A466,'IRS Rates'!$A$2:$B$21,2,TRUE)),"")</f>
        <v/>
      </c>
      <c r="H466" s="20">
        <f>IF(AND(ISNUMBER(F466),ISNUMBER(G466)),ROUND(F466*G466,2),"")</f>
        <v/>
      </c>
    </row>
    <row r="467">
      <c r="A467" s="18" t="n"/>
      <c r="F467" s="21" t="n"/>
      <c r="G467" s="22">
        <f>IF(ISNUMBER(A467),IF(A467&lt;MIN('IRS Rates'!$A$2:$A$21),"No rate",VLOOKUP(A467,'IRS Rates'!$A$2:$B$21,2,TRUE)),"")</f>
        <v/>
      </c>
      <c r="H467" s="20">
        <f>IF(AND(ISNUMBER(F467),ISNUMBER(G467)),ROUND(F467*G467,2),"")</f>
        <v/>
      </c>
    </row>
    <row r="468">
      <c r="A468" s="18" t="n"/>
      <c r="F468" s="21" t="n"/>
      <c r="G468" s="22">
        <f>IF(ISNUMBER(A468),IF(A468&lt;MIN('IRS Rates'!$A$2:$A$21),"No rate",VLOOKUP(A468,'IRS Rates'!$A$2:$B$21,2,TRUE)),"")</f>
        <v/>
      </c>
      <c r="H468" s="20">
        <f>IF(AND(ISNUMBER(F468),ISNUMBER(G468)),ROUND(F468*G468,2),"")</f>
        <v/>
      </c>
    </row>
    <row r="469">
      <c r="A469" s="18" t="n"/>
      <c r="F469" s="21" t="n"/>
      <c r="G469" s="22">
        <f>IF(ISNUMBER(A469),IF(A469&lt;MIN('IRS Rates'!$A$2:$A$21),"No rate",VLOOKUP(A469,'IRS Rates'!$A$2:$B$21,2,TRUE)),"")</f>
        <v/>
      </c>
      <c r="H469" s="20">
        <f>IF(AND(ISNUMBER(F469),ISNUMBER(G469)),ROUND(F469*G469,2),"")</f>
        <v/>
      </c>
    </row>
    <row r="470">
      <c r="A470" s="18" t="n"/>
      <c r="F470" s="21" t="n"/>
      <c r="G470" s="22">
        <f>IF(ISNUMBER(A470),IF(A470&lt;MIN('IRS Rates'!$A$2:$A$21),"No rate",VLOOKUP(A470,'IRS Rates'!$A$2:$B$21,2,TRUE)),"")</f>
        <v/>
      </c>
      <c r="H470" s="20">
        <f>IF(AND(ISNUMBER(F470),ISNUMBER(G470)),ROUND(F470*G470,2),"")</f>
        <v/>
      </c>
    </row>
    <row r="471">
      <c r="A471" s="18" t="n"/>
      <c r="F471" s="21" t="n"/>
      <c r="G471" s="22">
        <f>IF(ISNUMBER(A471),IF(A471&lt;MIN('IRS Rates'!$A$2:$A$21),"No rate",VLOOKUP(A471,'IRS Rates'!$A$2:$B$21,2,TRUE)),"")</f>
        <v/>
      </c>
      <c r="H471" s="20">
        <f>IF(AND(ISNUMBER(F471),ISNUMBER(G471)),ROUND(F471*G471,2),"")</f>
        <v/>
      </c>
    </row>
    <row r="472">
      <c r="A472" s="18" t="n"/>
      <c r="F472" s="21" t="n"/>
      <c r="G472" s="22">
        <f>IF(ISNUMBER(A472),IF(A472&lt;MIN('IRS Rates'!$A$2:$A$21),"No rate",VLOOKUP(A472,'IRS Rates'!$A$2:$B$21,2,TRUE)),"")</f>
        <v/>
      </c>
      <c r="H472" s="20">
        <f>IF(AND(ISNUMBER(F472),ISNUMBER(G472)),ROUND(F472*G472,2),"")</f>
        <v/>
      </c>
    </row>
    <row r="473">
      <c r="A473" s="18" t="n"/>
      <c r="F473" s="21" t="n"/>
      <c r="G473" s="22">
        <f>IF(ISNUMBER(A473),IF(A473&lt;MIN('IRS Rates'!$A$2:$A$21),"No rate",VLOOKUP(A473,'IRS Rates'!$A$2:$B$21,2,TRUE)),"")</f>
        <v/>
      </c>
      <c r="H473" s="20">
        <f>IF(AND(ISNUMBER(F473),ISNUMBER(G473)),ROUND(F473*G473,2),"")</f>
        <v/>
      </c>
    </row>
    <row r="474">
      <c r="A474" s="18" t="n"/>
      <c r="F474" s="21" t="n"/>
      <c r="G474" s="22">
        <f>IF(ISNUMBER(A474),IF(A474&lt;MIN('IRS Rates'!$A$2:$A$21),"No rate",VLOOKUP(A474,'IRS Rates'!$A$2:$B$21,2,TRUE)),"")</f>
        <v/>
      </c>
      <c r="H474" s="20">
        <f>IF(AND(ISNUMBER(F474),ISNUMBER(G474)),ROUND(F474*G474,2),"")</f>
        <v/>
      </c>
    </row>
    <row r="475">
      <c r="A475" s="18" t="n"/>
      <c r="F475" s="21" t="n"/>
      <c r="G475" s="22">
        <f>IF(ISNUMBER(A475),IF(A475&lt;MIN('IRS Rates'!$A$2:$A$21),"No rate",VLOOKUP(A475,'IRS Rates'!$A$2:$B$21,2,TRUE)),"")</f>
        <v/>
      </c>
      <c r="H475" s="20">
        <f>IF(AND(ISNUMBER(F475),ISNUMBER(G475)),ROUND(F475*G475,2),"")</f>
        <v/>
      </c>
    </row>
    <row r="476">
      <c r="A476" s="18" t="n"/>
      <c r="F476" s="21" t="n"/>
      <c r="G476" s="22">
        <f>IF(ISNUMBER(A476),IF(A476&lt;MIN('IRS Rates'!$A$2:$A$21),"No rate",VLOOKUP(A476,'IRS Rates'!$A$2:$B$21,2,TRUE)),"")</f>
        <v/>
      </c>
      <c r="H476" s="20">
        <f>IF(AND(ISNUMBER(F476),ISNUMBER(G476)),ROUND(F476*G476,2),"")</f>
        <v/>
      </c>
    </row>
    <row r="477">
      <c r="A477" s="18" t="n"/>
      <c r="F477" s="21" t="n"/>
      <c r="G477" s="22">
        <f>IF(ISNUMBER(A477),IF(A477&lt;MIN('IRS Rates'!$A$2:$A$21),"No rate",VLOOKUP(A477,'IRS Rates'!$A$2:$B$21,2,TRUE)),"")</f>
        <v/>
      </c>
      <c r="H477" s="20">
        <f>IF(AND(ISNUMBER(F477),ISNUMBER(G477)),ROUND(F477*G477,2),"")</f>
        <v/>
      </c>
    </row>
    <row r="478">
      <c r="A478" s="18" t="n"/>
      <c r="F478" s="21" t="n"/>
      <c r="G478" s="22">
        <f>IF(ISNUMBER(A478),IF(A478&lt;MIN('IRS Rates'!$A$2:$A$21),"No rate",VLOOKUP(A478,'IRS Rates'!$A$2:$B$21,2,TRUE)),"")</f>
        <v/>
      </c>
      <c r="H478" s="20">
        <f>IF(AND(ISNUMBER(F478),ISNUMBER(G478)),ROUND(F478*G478,2),"")</f>
        <v/>
      </c>
    </row>
    <row r="479">
      <c r="A479" s="18" t="n"/>
      <c r="F479" s="21" t="n"/>
      <c r="G479" s="22">
        <f>IF(ISNUMBER(A479),IF(A479&lt;MIN('IRS Rates'!$A$2:$A$21),"No rate",VLOOKUP(A479,'IRS Rates'!$A$2:$B$21,2,TRUE)),"")</f>
        <v/>
      </c>
      <c r="H479" s="20">
        <f>IF(AND(ISNUMBER(F479),ISNUMBER(G479)),ROUND(F479*G479,2),"")</f>
        <v/>
      </c>
    </row>
    <row r="480">
      <c r="A480" s="18" t="n"/>
      <c r="F480" s="21" t="n"/>
      <c r="G480" s="22">
        <f>IF(ISNUMBER(A480),IF(A480&lt;MIN('IRS Rates'!$A$2:$A$21),"No rate",VLOOKUP(A480,'IRS Rates'!$A$2:$B$21,2,TRUE)),"")</f>
        <v/>
      </c>
      <c r="H480" s="20">
        <f>IF(AND(ISNUMBER(F480),ISNUMBER(G480)),ROUND(F480*G480,2),"")</f>
        <v/>
      </c>
    </row>
    <row r="481">
      <c r="A481" s="18" t="n"/>
      <c r="F481" s="21" t="n"/>
      <c r="G481" s="22">
        <f>IF(ISNUMBER(A481),IF(A481&lt;MIN('IRS Rates'!$A$2:$A$21),"No rate",VLOOKUP(A481,'IRS Rates'!$A$2:$B$21,2,TRUE)),"")</f>
        <v/>
      </c>
      <c r="H481" s="20">
        <f>IF(AND(ISNUMBER(F481),ISNUMBER(G481)),ROUND(F481*G481,2),"")</f>
        <v/>
      </c>
    </row>
    <row r="482">
      <c r="A482" s="18" t="n"/>
      <c r="F482" s="21" t="n"/>
      <c r="G482" s="22">
        <f>IF(ISNUMBER(A482),IF(A482&lt;MIN('IRS Rates'!$A$2:$A$21),"No rate",VLOOKUP(A482,'IRS Rates'!$A$2:$B$21,2,TRUE)),"")</f>
        <v/>
      </c>
      <c r="H482" s="20">
        <f>IF(AND(ISNUMBER(F482),ISNUMBER(G482)),ROUND(F482*G482,2),"")</f>
        <v/>
      </c>
    </row>
    <row r="483">
      <c r="A483" s="18" t="n"/>
      <c r="F483" s="21" t="n"/>
      <c r="G483" s="22">
        <f>IF(ISNUMBER(A483),IF(A483&lt;MIN('IRS Rates'!$A$2:$A$21),"No rate",VLOOKUP(A483,'IRS Rates'!$A$2:$B$21,2,TRUE)),"")</f>
        <v/>
      </c>
      <c r="H483" s="20">
        <f>IF(AND(ISNUMBER(F483),ISNUMBER(G483)),ROUND(F483*G483,2),"")</f>
        <v/>
      </c>
    </row>
    <row r="484">
      <c r="A484" s="18" t="n"/>
      <c r="F484" s="21" t="n"/>
      <c r="G484" s="22">
        <f>IF(ISNUMBER(A484),IF(A484&lt;MIN('IRS Rates'!$A$2:$A$21),"No rate",VLOOKUP(A484,'IRS Rates'!$A$2:$B$21,2,TRUE)),"")</f>
        <v/>
      </c>
      <c r="H484" s="20">
        <f>IF(AND(ISNUMBER(F484),ISNUMBER(G484)),ROUND(F484*G484,2),"")</f>
        <v/>
      </c>
    </row>
    <row r="485">
      <c r="A485" s="18" t="n"/>
      <c r="F485" s="21" t="n"/>
      <c r="G485" s="22">
        <f>IF(ISNUMBER(A485),IF(A485&lt;MIN('IRS Rates'!$A$2:$A$21),"No rate",VLOOKUP(A485,'IRS Rates'!$A$2:$B$21,2,TRUE)),"")</f>
        <v/>
      </c>
      <c r="H485" s="20">
        <f>IF(AND(ISNUMBER(F485),ISNUMBER(G485)),ROUND(F485*G485,2),"")</f>
        <v/>
      </c>
    </row>
    <row r="486">
      <c r="A486" s="18" t="n"/>
      <c r="F486" s="21" t="n"/>
      <c r="G486" s="22">
        <f>IF(ISNUMBER(A486),IF(A486&lt;MIN('IRS Rates'!$A$2:$A$21),"No rate",VLOOKUP(A486,'IRS Rates'!$A$2:$B$21,2,TRUE)),"")</f>
        <v/>
      </c>
      <c r="H486" s="20">
        <f>IF(AND(ISNUMBER(F486),ISNUMBER(G486)),ROUND(F486*G486,2),"")</f>
        <v/>
      </c>
    </row>
    <row r="487">
      <c r="A487" s="18" t="n"/>
      <c r="F487" s="21" t="n"/>
      <c r="G487" s="22">
        <f>IF(ISNUMBER(A487),IF(A487&lt;MIN('IRS Rates'!$A$2:$A$21),"No rate",VLOOKUP(A487,'IRS Rates'!$A$2:$B$21,2,TRUE)),"")</f>
        <v/>
      </c>
      <c r="H487" s="20">
        <f>IF(AND(ISNUMBER(F487),ISNUMBER(G487)),ROUND(F487*G487,2),"")</f>
        <v/>
      </c>
    </row>
    <row r="488">
      <c r="A488" s="18" t="n"/>
      <c r="F488" s="21" t="n"/>
      <c r="G488" s="22">
        <f>IF(ISNUMBER(A488),IF(A488&lt;MIN('IRS Rates'!$A$2:$A$21),"No rate",VLOOKUP(A488,'IRS Rates'!$A$2:$B$21,2,TRUE)),"")</f>
        <v/>
      </c>
      <c r="H488" s="20">
        <f>IF(AND(ISNUMBER(F488),ISNUMBER(G488)),ROUND(F488*G488,2),"")</f>
        <v/>
      </c>
    </row>
    <row r="489">
      <c r="A489" s="18" t="n"/>
      <c r="F489" s="21" t="n"/>
      <c r="G489" s="22">
        <f>IF(ISNUMBER(A489),IF(A489&lt;MIN('IRS Rates'!$A$2:$A$21),"No rate",VLOOKUP(A489,'IRS Rates'!$A$2:$B$21,2,TRUE)),"")</f>
        <v/>
      </c>
      <c r="H489" s="20">
        <f>IF(AND(ISNUMBER(F489),ISNUMBER(G489)),ROUND(F489*G489,2),"")</f>
        <v/>
      </c>
    </row>
    <row r="490">
      <c r="A490" s="18" t="n"/>
      <c r="F490" s="21" t="n"/>
      <c r="G490" s="22">
        <f>IF(ISNUMBER(A490),IF(A490&lt;MIN('IRS Rates'!$A$2:$A$21),"No rate",VLOOKUP(A490,'IRS Rates'!$A$2:$B$21,2,TRUE)),"")</f>
        <v/>
      </c>
      <c r="H490" s="20">
        <f>IF(AND(ISNUMBER(F490),ISNUMBER(G490)),ROUND(F490*G490,2),"")</f>
        <v/>
      </c>
    </row>
    <row r="491">
      <c r="A491" s="18" t="n"/>
      <c r="F491" s="21" t="n"/>
      <c r="G491" s="22">
        <f>IF(ISNUMBER(A491),IF(A491&lt;MIN('IRS Rates'!$A$2:$A$21),"No rate",VLOOKUP(A491,'IRS Rates'!$A$2:$B$21,2,TRUE)),"")</f>
        <v/>
      </c>
      <c r="H491" s="20">
        <f>IF(AND(ISNUMBER(F491),ISNUMBER(G491)),ROUND(F491*G491,2),"")</f>
        <v/>
      </c>
    </row>
    <row r="492">
      <c r="A492" s="18" t="n"/>
      <c r="F492" s="21" t="n"/>
      <c r="G492" s="22">
        <f>IF(ISNUMBER(A492),IF(A492&lt;MIN('IRS Rates'!$A$2:$A$21),"No rate",VLOOKUP(A492,'IRS Rates'!$A$2:$B$21,2,TRUE)),"")</f>
        <v/>
      </c>
      <c r="H492" s="20">
        <f>IF(AND(ISNUMBER(F492),ISNUMBER(G492)),ROUND(F492*G492,2),"")</f>
        <v/>
      </c>
    </row>
    <row r="493">
      <c r="A493" s="18" t="n"/>
      <c r="F493" s="21" t="n"/>
      <c r="G493" s="22">
        <f>IF(ISNUMBER(A493),IF(A493&lt;MIN('IRS Rates'!$A$2:$A$21),"No rate",VLOOKUP(A493,'IRS Rates'!$A$2:$B$21,2,TRUE)),"")</f>
        <v/>
      </c>
      <c r="H493" s="20">
        <f>IF(AND(ISNUMBER(F493),ISNUMBER(G493)),ROUND(F493*G493,2),"")</f>
        <v/>
      </c>
    </row>
    <row r="494">
      <c r="A494" s="18" t="n"/>
      <c r="F494" s="21" t="n"/>
      <c r="G494" s="22">
        <f>IF(ISNUMBER(A494),IF(A494&lt;MIN('IRS Rates'!$A$2:$A$21),"No rate",VLOOKUP(A494,'IRS Rates'!$A$2:$B$21,2,TRUE)),"")</f>
        <v/>
      </c>
      <c r="H494" s="20">
        <f>IF(AND(ISNUMBER(F494),ISNUMBER(G494)),ROUND(F494*G494,2),"")</f>
        <v/>
      </c>
    </row>
    <row r="495">
      <c r="A495" s="18" t="n"/>
      <c r="F495" s="21" t="n"/>
      <c r="G495" s="22">
        <f>IF(ISNUMBER(A495),IF(A495&lt;MIN('IRS Rates'!$A$2:$A$21),"No rate",VLOOKUP(A495,'IRS Rates'!$A$2:$B$21,2,TRUE)),"")</f>
        <v/>
      </c>
      <c r="H495" s="20">
        <f>IF(AND(ISNUMBER(F495),ISNUMBER(G495)),ROUND(F495*G495,2),"")</f>
        <v/>
      </c>
    </row>
    <row r="496">
      <c r="A496" s="18" t="n"/>
      <c r="F496" s="21" t="n"/>
      <c r="G496" s="22">
        <f>IF(ISNUMBER(A496),IF(A496&lt;MIN('IRS Rates'!$A$2:$A$21),"No rate",VLOOKUP(A496,'IRS Rates'!$A$2:$B$21,2,TRUE)),"")</f>
        <v/>
      </c>
      <c r="H496" s="20">
        <f>IF(AND(ISNUMBER(F496),ISNUMBER(G496)),ROUND(F496*G496,2),"")</f>
        <v/>
      </c>
    </row>
    <row r="497">
      <c r="A497" s="18" t="n"/>
      <c r="F497" s="21" t="n"/>
      <c r="G497" s="22">
        <f>IF(ISNUMBER(A497),IF(A497&lt;MIN('IRS Rates'!$A$2:$A$21),"No rate",VLOOKUP(A497,'IRS Rates'!$A$2:$B$21,2,TRUE)),"")</f>
        <v/>
      </c>
      <c r="H497" s="20">
        <f>IF(AND(ISNUMBER(F497),ISNUMBER(G497)),ROUND(F497*G497,2),"")</f>
        <v/>
      </c>
    </row>
    <row r="498">
      <c r="A498" s="18" t="n"/>
      <c r="F498" s="21" t="n"/>
      <c r="G498" s="22">
        <f>IF(ISNUMBER(A498),IF(A498&lt;MIN('IRS Rates'!$A$2:$A$21),"No rate",VLOOKUP(A498,'IRS Rates'!$A$2:$B$21,2,TRUE)),"")</f>
        <v/>
      </c>
      <c r="H498" s="20">
        <f>IF(AND(ISNUMBER(F498),ISNUMBER(G498)),ROUND(F498*G498,2),"")</f>
        <v/>
      </c>
    </row>
    <row r="499">
      <c r="A499" s="18" t="n"/>
      <c r="F499" s="21" t="n"/>
      <c r="G499" s="22">
        <f>IF(ISNUMBER(A499),IF(A499&lt;MIN('IRS Rates'!$A$2:$A$21),"No rate",VLOOKUP(A499,'IRS Rates'!$A$2:$B$21,2,TRUE)),"")</f>
        <v/>
      </c>
      <c r="H499" s="20">
        <f>IF(AND(ISNUMBER(F499),ISNUMBER(G499)),ROUND(F499*G499,2),"")</f>
        <v/>
      </c>
    </row>
    <row r="500">
      <c r="A500" s="18" t="n"/>
      <c r="F500" s="21" t="n"/>
      <c r="G500" s="22">
        <f>IF(ISNUMBER(A500),IF(A500&lt;MIN('IRS Rates'!$A$2:$A$21),"No rate",VLOOKUP(A500,'IRS Rates'!$A$2:$B$21,2,TRUE)),"")</f>
        <v/>
      </c>
      <c r="H500" s="20">
        <f>IF(AND(ISNUMBER(F500),ISNUMBER(G500)),ROUND(F500*G500,2),"")</f>
        <v/>
      </c>
    </row>
    <row r="501">
      <c r="A501" s="18" t="n"/>
      <c r="F501" s="21" t="n"/>
      <c r="G501" s="22">
        <f>IF(ISNUMBER(A501),IF(A501&lt;MIN('IRS Rates'!$A$2:$A$21),"No rate",VLOOKUP(A501,'IRS Rates'!$A$2:$B$21,2,TRUE)),"")</f>
        <v/>
      </c>
      <c r="H501" s="20">
        <f>IF(AND(ISNUMBER(F501),ISNUMBER(G501)),ROUND(F501*G501,2),"")</f>
        <v/>
      </c>
    </row>
  </sheetData>
  <autoFilter ref="A1:I501"/>
  <dataValidations count="2">
    <dataValidation sqref="A2:A501" showDropDown="0" showInputMessage="0" showErrorMessage="1" allowBlank="1" errorTitle="Date needed" error="Enter a date, e.g. 3/15/2026." type="date" operator="greaterThan">
      <formula1>36526</formula1>
    </dataValidation>
    <dataValidation sqref="F2:F501" showDropDown="0" showInputMessage="0" showErrorMessage="1" allowBlank="1" errorTitle="Number needed" error="Enter a number of 0 or more."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26" customWidth="1" min="3" max="3"/>
    <col width="30" customWidth="1" min="4" max="4"/>
    <col width="24" customWidth="1" min="5" max="5"/>
    <col width="20" customWidth="1" min="6" max="6"/>
    <col width="8" customWidth="1" min="7" max="7"/>
    <col width="13" customWidth="1" min="8" max="8"/>
    <col width="14" customWidth="1" min="9" max="9"/>
    <col width="12" customWidth="1" min="10" max="10"/>
    <col width="30" customWidth="1" min="11" max="11"/>
  </cols>
  <sheetData>
    <row r="1" ht="30" customHeight="1">
      <c r="A1" s="17" t="inlineStr">
        <is>
          <t>Customer Name</t>
        </is>
      </c>
      <c r="B1" s="17" t="inlineStr">
        <is>
          <t>Phone</t>
        </is>
      </c>
      <c r="C1" s="17" t="inlineStr">
        <is>
          <t>Email</t>
        </is>
      </c>
      <c r="D1" s="17" t="inlineStr">
        <is>
          <t>Service Address</t>
        </is>
      </c>
      <c r="E1" s="17" t="inlineStr">
        <is>
          <t>Vehicle(s)</t>
        </is>
      </c>
      <c r="F1" s="17" t="inlineStr">
        <is>
          <t>Preferred Service</t>
        </is>
      </c>
      <c r="G1" s="17" t="inlineStr">
        <is>
          <t>Jobs</t>
        </is>
      </c>
      <c r="H1" s="17" t="inlineStr">
        <is>
          <t>Total Spent</t>
        </is>
      </c>
      <c r="I1" s="17" t="inlineStr">
        <is>
          <t>Unpaid Balance</t>
        </is>
      </c>
      <c r="J1" s="17" t="inlineStr">
        <is>
          <t>Last Visit</t>
        </is>
      </c>
      <c r="K1" s="17" t="inlineStr">
        <is>
          <t>Notes</t>
        </is>
      </c>
    </row>
    <row r="2">
      <c r="G2" s="23">
        <f>IF(A2="","",COUNTIF('Jobs'!$B$2:$B$501,A2))</f>
        <v/>
      </c>
      <c r="H2" s="20">
        <f>IF(A2="","",SUMIF('Jobs'!$B$2:$B$501,A2,'Jobs'!$H$2:$H$501))</f>
        <v/>
      </c>
      <c r="I2" s="20">
        <f>IF(A2="","",SUMIFS('Jobs'!$H$2:$H$501,'Jobs'!$B$2:$B$501,A2,'Jobs'!$I$2:$I$501,"No"))</f>
        <v/>
      </c>
      <c r="J2" s="24">
        <f>IF(A2="","",IF(COUNTIF('Jobs'!$B$2:$B$501,A2)=0,"",SUMPRODUCT(MAX(('Jobs'!$B$2:$B$501=A2)*'Jobs'!$A$2:$A$501))))</f>
        <v/>
      </c>
    </row>
    <row r="3">
      <c r="G3" s="23">
        <f>IF(A3="","",COUNTIF('Jobs'!$B$2:$B$501,A3))</f>
        <v/>
      </c>
      <c r="H3" s="20">
        <f>IF(A3="","",SUMIF('Jobs'!$B$2:$B$501,A3,'Jobs'!$H$2:$H$501))</f>
        <v/>
      </c>
      <c r="I3" s="20">
        <f>IF(A3="","",SUMIFS('Jobs'!$H$2:$H$501,'Jobs'!$B$2:$B$501,A3,'Jobs'!$I$2:$I$501,"No"))</f>
        <v/>
      </c>
      <c r="J3" s="24">
        <f>IF(A3="","",IF(COUNTIF('Jobs'!$B$2:$B$501,A3)=0,"",SUMPRODUCT(MAX(('Jobs'!$B$2:$B$501=A3)*'Jobs'!$A$2:$A$501))))</f>
        <v/>
      </c>
    </row>
    <row r="4">
      <c r="G4" s="23">
        <f>IF(A4="","",COUNTIF('Jobs'!$B$2:$B$501,A4))</f>
        <v/>
      </c>
      <c r="H4" s="20">
        <f>IF(A4="","",SUMIF('Jobs'!$B$2:$B$501,A4,'Jobs'!$H$2:$H$501))</f>
        <v/>
      </c>
      <c r="I4" s="20">
        <f>IF(A4="","",SUMIFS('Jobs'!$H$2:$H$501,'Jobs'!$B$2:$B$501,A4,'Jobs'!$I$2:$I$501,"No"))</f>
        <v/>
      </c>
      <c r="J4" s="24">
        <f>IF(A4="","",IF(COUNTIF('Jobs'!$B$2:$B$501,A4)=0,"",SUMPRODUCT(MAX(('Jobs'!$B$2:$B$501=A4)*'Jobs'!$A$2:$A$501))))</f>
        <v/>
      </c>
    </row>
    <row r="5">
      <c r="G5" s="23">
        <f>IF(A5="","",COUNTIF('Jobs'!$B$2:$B$501,A5))</f>
        <v/>
      </c>
      <c r="H5" s="20">
        <f>IF(A5="","",SUMIF('Jobs'!$B$2:$B$501,A5,'Jobs'!$H$2:$H$501))</f>
        <v/>
      </c>
      <c r="I5" s="20">
        <f>IF(A5="","",SUMIFS('Jobs'!$H$2:$H$501,'Jobs'!$B$2:$B$501,A5,'Jobs'!$I$2:$I$501,"No"))</f>
        <v/>
      </c>
      <c r="J5" s="24">
        <f>IF(A5="","",IF(COUNTIF('Jobs'!$B$2:$B$501,A5)=0,"",SUMPRODUCT(MAX(('Jobs'!$B$2:$B$501=A5)*'Jobs'!$A$2:$A$501))))</f>
        <v/>
      </c>
    </row>
    <row r="6">
      <c r="G6" s="23">
        <f>IF(A6="","",COUNTIF('Jobs'!$B$2:$B$501,A6))</f>
        <v/>
      </c>
      <c r="H6" s="20">
        <f>IF(A6="","",SUMIF('Jobs'!$B$2:$B$501,A6,'Jobs'!$H$2:$H$501))</f>
        <v/>
      </c>
      <c r="I6" s="20">
        <f>IF(A6="","",SUMIFS('Jobs'!$H$2:$H$501,'Jobs'!$B$2:$B$501,A6,'Jobs'!$I$2:$I$501,"No"))</f>
        <v/>
      </c>
      <c r="J6" s="24">
        <f>IF(A6="","",IF(COUNTIF('Jobs'!$B$2:$B$501,A6)=0,"",SUMPRODUCT(MAX(('Jobs'!$B$2:$B$501=A6)*'Jobs'!$A$2:$A$501))))</f>
        <v/>
      </c>
    </row>
    <row r="7">
      <c r="G7" s="23">
        <f>IF(A7="","",COUNTIF('Jobs'!$B$2:$B$501,A7))</f>
        <v/>
      </c>
      <c r="H7" s="20">
        <f>IF(A7="","",SUMIF('Jobs'!$B$2:$B$501,A7,'Jobs'!$H$2:$H$501))</f>
        <v/>
      </c>
      <c r="I7" s="20">
        <f>IF(A7="","",SUMIFS('Jobs'!$H$2:$H$501,'Jobs'!$B$2:$B$501,A7,'Jobs'!$I$2:$I$501,"No"))</f>
        <v/>
      </c>
      <c r="J7" s="24">
        <f>IF(A7="","",IF(COUNTIF('Jobs'!$B$2:$B$501,A7)=0,"",SUMPRODUCT(MAX(('Jobs'!$B$2:$B$501=A7)*'Jobs'!$A$2:$A$501))))</f>
        <v/>
      </c>
    </row>
    <row r="8">
      <c r="G8" s="23">
        <f>IF(A8="","",COUNTIF('Jobs'!$B$2:$B$501,A8))</f>
        <v/>
      </c>
      <c r="H8" s="20">
        <f>IF(A8="","",SUMIF('Jobs'!$B$2:$B$501,A8,'Jobs'!$H$2:$H$501))</f>
        <v/>
      </c>
      <c r="I8" s="20">
        <f>IF(A8="","",SUMIFS('Jobs'!$H$2:$H$501,'Jobs'!$B$2:$B$501,A8,'Jobs'!$I$2:$I$501,"No"))</f>
        <v/>
      </c>
      <c r="J8" s="24">
        <f>IF(A8="","",IF(COUNTIF('Jobs'!$B$2:$B$501,A8)=0,"",SUMPRODUCT(MAX(('Jobs'!$B$2:$B$501=A8)*'Jobs'!$A$2:$A$501))))</f>
        <v/>
      </c>
    </row>
    <row r="9">
      <c r="G9" s="23">
        <f>IF(A9="","",COUNTIF('Jobs'!$B$2:$B$501,A9))</f>
        <v/>
      </c>
      <c r="H9" s="20">
        <f>IF(A9="","",SUMIF('Jobs'!$B$2:$B$501,A9,'Jobs'!$H$2:$H$501))</f>
        <v/>
      </c>
      <c r="I9" s="20">
        <f>IF(A9="","",SUMIFS('Jobs'!$H$2:$H$501,'Jobs'!$B$2:$B$501,A9,'Jobs'!$I$2:$I$501,"No"))</f>
        <v/>
      </c>
      <c r="J9" s="24">
        <f>IF(A9="","",IF(COUNTIF('Jobs'!$B$2:$B$501,A9)=0,"",SUMPRODUCT(MAX(('Jobs'!$B$2:$B$501=A9)*'Jobs'!$A$2:$A$501))))</f>
        <v/>
      </c>
    </row>
    <row r="10">
      <c r="G10" s="23">
        <f>IF(A10="","",COUNTIF('Jobs'!$B$2:$B$501,A10))</f>
        <v/>
      </c>
      <c r="H10" s="20">
        <f>IF(A10="","",SUMIF('Jobs'!$B$2:$B$501,A10,'Jobs'!$H$2:$H$501))</f>
        <v/>
      </c>
      <c r="I10" s="20">
        <f>IF(A10="","",SUMIFS('Jobs'!$H$2:$H$501,'Jobs'!$B$2:$B$501,A10,'Jobs'!$I$2:$I$501,"No"))</f>
        <v/>
      </c>
      <c r="J10" s="24">
        <f>IF(A10="","",IF(COUNTIF('Jobs'!$B$2:$B$501,A10)=0,"",SUMPRODUCT(MAX(('Jobs'!$B$2:$B$501=A10)*'Jobs'!$A$2:$A$501))))</f>
        <v/>
      </c>
    </row>
    <row r="11">
      <c r="G11" s="23">
        <f>IF(A11="","",COUNTIF('Jobs'!$B$2:$B$501,A11))</f>
        <v/>
      </c>
      <c r="H11" s="20">
        <f>IF(A11="","",SUMIF('Jobs'!$B$2:$B$501,A11,'Jobs'!$H$2:$H$501))</f>
        <v/>
      </c>
      <c r="I11" s="20">
        <f>IF(A11="","",SUMIFS('Jobs'!$H$2:$H$501,'Jobs'!$B$2:$B$501,A11,'Jobs'!$I$2:$I$501,"No"))</f>
        <v/>
      </c>
      <c r="J11" s="24">
        <f>IF(A11="","",IF(COUNTIF('Jobs'!$B$2:$B$501,A11)=0,"",SUMPRODUCT(MAX(('Jobs'!$B$2:$B$501=A11)*'Jobs'!$A$2:$A$501))))</f>
        <v/>
      </c>
    </row>
    <row r="12">
      <c r="G12" s="23">
        <f>IF(A12="","",COUNTIF('Jobs'!$B$2:$B$501,A12))</f>
        <v/>
      </c>
      <c r="H12" s="20">
        <f>IF(A12="","",SUMIF('Jobs'!$B$2:$B$501,A12,'Jobs'!$H$2:$H$501))</f>
        <v/>
      </c>
      <c r="I12" s="20">
        <f>IF(A12="","",SUMIFS('Jobs'!$H$2:$H$501,'Jobs'!$B$2:$B$501,A12,'Jobs'!$I$2:$I$501,"No"))</f>
        <v/>
      </c>
      <c r="J12" s="24">
        <f>IF(A12="","",IF(COUNTIF('Jobs'!$B$2:$B$501,A12)=0,"",SUMPRODUCT(MAX(('Jobs'!$B$2:$B$501=A12)*'Jobs'!$A$2:$A$501))))</f>
        <v/>
      </c>
    </row>
    <row r="13">
      <c r="G13" s="23">
        <f>IF(A13="","",COUNTIF('Jobs'!$B$2:$B$501,A13))</f>
        <v/>
      </c>
      <c r="H13" s="20">
        <f>IF(A13="","",SUMIF('Jobs'!$B$2:$B$501,A13,'Jobs'!$H$2:$H$501))</f>
        <v/>
      </c>
      <c r="I13" s="20">
        <f>IF(A13="","",SUMIFS('Jobs'!$H$2:$H$501,'Jobs'!$B$2:$B$501,A13,'Jobs'!$I$2:$I$501,"No"))</f>
        <v/>
      </c>
      <c r="J13" s="24">
        <f>IF(A13="","",IF(COUNTIF('Jobs'!$B$2:$B$501,A13)=0,"",SUMPRODUCT(MAX(('Jobs'!$B$2:$B$501=A13)*'Jobs'!$A$2:$A$501))))</f>
        <v/>
      </c>
    </row>
    <row r="14">
      <c r="G14" s="23">
        <f>IF(A14="","",COUNTIF('Jobs'!$B$2:$B$501,A14))</f>
        <v/>
      </c>
      <c r="H14" s="20">
        <f>IF(A14="","",SUMIF('Jobs'!$B$2:$B$501,A14,'Jobs'!$H$2:$H$501))</f>
        <v/>
      </c>
      <c r="I14" s="20">
        <f>IF(A14="","",SUMIFS('Jobs'!$H$2:$H$501,'Jobs'!$B$2:$B$501,A14,'Jobs'!$I$2:$I$501,"No"))</f>
        <v/>
      </c>
      <c r="J14" s="24">
        <f>IF(A14="","",IF(COUNTIF('Jobs'!$B$2:$B$501,A14)=0,"",SUMPRODUCT(MAX(('Jobs'!$B$2:$B$501=A14)*'Jobs'!$A$2:$A$501))))</f>
        <v/>
      </c>
    </row>
    <row r="15">
      <c r="G15" s="23">
        <f>IF(A15="","",COUNTIF('Jobs'!$B$2:$B$501,A15))</f>
        <v/>
      </c>
      <c r="H15" s="20">
        <f>IF(A15="","",SUMIF('Jobs'!$B$2:$B$501,A15,'Jobs'!$H$2:$H$501))</f>
        <v/>
      </c>
      <c r="I15" s="20">
        <f>IF(A15="","",SUMIFS('Jobs'!$H$2:$H$501,'Jobs'!$B$2:$B$501,A15,'Jobs'!$I$2:$I$501,"No"))</f>
        <v/>
      </c>
      <c r="J15" s="24">
        <f>IF(A15="","",IF(COUNTIF('Jobs'!$B$2:$B$501,A15)=0,"",SUMPRODUCT(MAX(('Jobs'!$B$2:$B$501=A15)*'Jobs'!$A$2:$A$501))))</f>
        <v/>
      </c>
    </row>
    <row r="16">
      <c r="G16" s="23">
        <f>IF(A16="","",COUNTIF('Jobs'!$B$2:$B$501,A16))</f>
        <v/>
      </c>
      <c r="H16" s="20">
        <f>IF(A16="","",SUMIF('Jobs'!$B$2:$B$501,A16,'Jobs'!$H$2:$H$501))</f>
        <v/>
      </c>
      <c r="I16" s="20">
        <f>IF(A16="","",SUMIFS('Jobs'!$H$2:$H$501,'Jobs'!$B$2:$B$501,A16,'Jobs'!$I$2:$I$501,"No"))</f>
        <v/>
      </c>
      <c r="J16" s="24">
        <f>IF(A16="","",IF(COUNTIF('Jobs'!$B$2:$B$501,A16)=0,"",SUMPRODUCT(MAX(('Jobs'!$B$2:$B$501=A16)*'Jobs'!$A$2:$A$501))))</f>
        <v/>
      </c>
    </row>
    <row r="17">
      <c r="G17" s="23">
        <f>IF(A17="","",COUNTIF('Jobs'!$B$2:$B$501,A17))</f>
        <v/>
      </c>
      <c r="H17" s="20">
        <f>IF(A17="","",SUMIF('Jobs'!$B$2:$B$501,A17,'Jobs'!$H$2:$H$501))</f>
        <v/>
      </c>
      <c r="I17" s="20">
        <f>IF(A17="","",SUMIFS('Jobs'!$H$2:$H$501,'Jobs'!$B$2:$B$501,A17,'Jobs'!$I$2:$I$501,"No"))</f>
        <v/>
      </c>
      <c r="J17" s="24">
        <f>IF(A17="","",IF(COUNTIF('Jobs'!$B$2:$B$501,A17)=0,"",SUMPRODUCT(MAX(('Jobs'!$B$2:$B$501=A17)*'Jobs'!$A$2:$A$501))))</f>
        <v/>
      </c>
    </row>
    <row r="18">
      <c r="G18" s="23">
        <f>IF(A18="","",COUNTIF('Jobs'!$B$2:$B$501,A18))</f>
        <v/>
      </c>
      <c r="H18" s="20">
        <f>IF(A18="","",SUMIF('Jobs'!$B$2:$B$501,A18,'Jobs'!$H$2:$H$501))</f>
        <v/>
      </c>
      <c r="I18" s="20">
        <f>IF(A18="","",SUMIFS('Jobs'!$H$2:$H$501,'Jobs'!$B$2:$B$501,A18,'Jobs'!$I$2:$I$501,"No"))</f>
        <v/>
      </c>
      <c r="J18" s="24">
        <f>IF(A18="","",IF(COUNTIF('Jobs'!$B$2:$B$501,A18)=0,"",SUMPRODUCT(MAX(('Jobs'!$B$2:$B$501=A18)*'Jobs'!$A$2:$A$501))))</f>
        <v/>
      </c>
    </row>
    <row r="19">
      <c r="G19" s="23">
        <f>IF(A19="","",COUNTIF('Jobs'!$B$2:$B$501,A19))</f>
        <v/>
      </c>
      <c r="H19" s="20">
        <f>IF(A19="","",SUMIF('Jobs'!$B$2:$B$501,A19,'Jobs'!$H$2:$H$501))</f>
        <v/>
      </c>
      <c r="I19" s="20">
        <f>IF(A19="","",SUMIFS('Jobs'!$H$2:$H$501,'Jobs'!$B$2:$B$501,A19,'Jobs'!$I$2:$I$501,"No"))</f>
        <v/>
      </c>
      <c r="J19" s="24">
        <f>IF(A19="","",IF(COUNTIF('Jobs'!$B$2:$B$501,A19)=0,"",SUMPRODUCT(MAX(('Jobs'!$B$2:$B$501=A19)*'Jobs'!$A$2:$A$501))))</f>
        <v/>
      </c>
    </row>
    <row r="20">
      <c r="G20" s="23">
        <f>IF(A20="","",COUNTIF('Jobs'!$B$2:$B$501,A20))</f>
        <v/>
      </c>
      <c r="H20" s="20">
        <f>IF(A20="","",SUMIF('Jobs'!$B$2:$B$501,A20,'Jobs'!$H$2:$H$501))</f>
        <v/>
      </c>
      <c r="I20" s="20">
        <f>IF(A20="","",SUMIFS('Jobs'!$H$2:$H$501,'Jobs'!$B$2:$B$501,A20,'Jobs'!$I$2:$I$501,"No"))</f>
        <v/>
      </c>
      <c r="J20" s="24">
        <f>IF(A20="","",IF(COUNTIF('Jobs'!$B$2:$B$501,A20)=0,"",SUMPRODUCT(MAX(('Jobs'!$B$2:$B$501=A20)*'Jobs'!$A$2:$A$501))))</f>
        <v/>
      </c>
    </row>
    <row r="21">
      <c r="G21" s="23">
        <f>IF(A21="","",COUNTIF('Jobs'!$B$2:$B$501,A21))</f>
        <v/>
      </c>
      <c r="H21" s="20">
        <f>IF(A21="","",SUMIF('Jobs'!$B$2:$B$501,A21,'Jobs'!$H$2:$H$501))</f>
        <v/>
      </c>
      <c r="I21" s="20">
        <f>IF(A21="","",SUMIFS('Jobs'!$H$2:$H$501,'Jobs'!$B$2:$B$501,A21,'Jobs'!$I$2:$I$501,"No"))</f>
        <v/>
      </c>
      <c r="J21" s="24">
        <f>IF(A21="","",IF(COUNTIF('Jobs'!$B$2:$B$501,A21)=0,"",SUMPRODUCT(MAX(('Jobs'!$B$2:$B$501=A21)*'Jobs'!$A$2:$A$501))))</f>
        <v/>
      </c>
    </row>
    <row r="22">
      <c r="G22" s="23">
        <f>IF(A22="","",COUNTIF('Jobs'!$B$2:$B$501,A22))</f>
        <v/>
      </c>
      <c r="H22" s="20">
        <f>IF(A22="","",SUMIF('Jobs'!$B$2:$B$501,A22,'Jobs'!$H$2:$H$501))</f>
        <v/>
      </c>
      <c r="I22" s="20">
        <f>IF(A22="","",SUMIFS('Jobs'!$H$2:$H$501,'Jobs'!$B$2:$B$501,A22,'Jobs'!$I$2:$I$501,"No"))</f>
        <v/>
      </c>
      <c r="J22" s="24">
        <f>IF(A22="","",IF(COUNTIF('Jobs'!$B$2:$B$501,A22)=0,"",SUMPRODUCT(MAX(('Jobs'!$B$2:$B$501=A22)*'Jobs'!$A$2:$A$501))))</f>
        <v/>
      </c>
    </row>
    <row r="23">
      <c r="G23" s="23">
        <f>IF(A23="","",COUNTIF('Jobs'!$B$2:$B$501,A23))</f>
        <v/>
      </c>
      <c r="H23" s="20">
        <f>IF(A23="","",SUMIF('Jobs'!$B$2:$B$501,A23,'Jobs'!$H$2:$H$501))</f>
        <v/>
      </c>
      <c r="I23" s="20">
        <f>IF(A23="","",SUMIFS('Jobs'!$H$2:$H$501,'Jobs'!$B$2:$B$501,A23,'Jobs'!$I$2:$I$501,"No"))</f>
        <v/>
      </c>
      <c r="J23" s="24">
        <f>IF(A23="","",IF(COUNTIF('Jobs'!$B$2:$B$501,A23)=0,"",SUMPRODUCT(MAX(('Jobs'!$B$2:$B$501=A23)*'Jobs'!$A$2:$A$501))))</f>
        <v/>
      </c>
    </row>
    <row r="24">
      <c r="G24" s="23">
        <f>IF(A24="","",COUNTIF('Jobs'!$B$2:$B$501,A24))</f>
        <v/>
      </c>
      <c r="H24" s="20">
        <f>IF(A24="","",SUMIF('Jobs'!$B$2:$B$501,A24,'Jobs'!$H$2:$H$501))</f>
        <v/>
      </c>
      <c r="I24" s="20">
        <f>IF(A24="","",SUMIFS('Jobs'!$H$2:$H$501,'Jobs'!$B$2:$B$501,A24,'Jobs'!$I$2:$I$501,"No"))</f>
        <v/>
      </c>
      <c r="J24" s="24">
        <f>IF(A24="","",IF(COUNTIF('Jobs'!$B$2:$B$501,A24)=0,"",SUMPRODUCT(MAX(('Jobs'!$B$2:$B$501=A24)*'Jobs'!$A$2:$A$501))))</f>
        <v/>
      </c>
    </row>
    <row r="25">
      <c r="G25" s="23">
        <f>IF(A25="","",COUNTIF('Jobs'!$B$2:$B$501,A25))</f>
        <v/>
      </c>
      <c r="H25" s="20">
        <f>IF(A25="","",SUMIF('Jobs'!$B$2:$B$501,A25,'Jobs'!$H$2:$H$501))</f>
        <v/>
      </c>
      <c r="I25" s="20">
        <f>IF(A25="","",SUMIFS('Jobs'!$H$2:$H$501,'Jobs'!$B$2:$B$501,A25,'Jobs'!$I$2:$I$501,"No"))</f>
        <v/>
      </c>
      <c r="J25" s="24">
        <f>IF(A25="","",IF(COUNTIF('Jobs'!$B$2:$B$501,A25)=0,"",SUMPRODUCT(MAX(('Jobs'!$B$2:$B$501=A25)*'Jobs'!$A$2:$A$501))))</f>
        <v/>
      </c>
    </row>
    <row r="26">
      <c r="G26" s="23">
        <f>IF(A26="","",COUNTIF('Jobs'!$B$2:$B$501,A26))</f>
        <v/>
      </c>
      <c r="H26" s="20">
        <f>IF(A26="","",SUMIF('Jobs'!$B$2:$B$501,A26,'Jobs'!$H$2:$H$501))</f>
        <v/>
      </c>
      <c r="I26" s="20">
        <f>IF(A26="","",SUMIFS('Jobs'!$H$2:$H$501,'Jobs'!$B$2:$B$501,A26,'Jobs'!$I$2:$I$501,"No"))</f>
        <v/>
      </c>
      <c r="J26" s="24">
        <f>IF(A26="","",IF(COUNTIF('Jobs'!$B$2:$B$501,A26)=0,"",SUMPRODUCT(MAX(('Jobs'!$B$2:$B$501=A26)*'Jobs'!$A$2:$A$501))))</f>
        <v/>
      </c>
    </row>
    <row r="27">
      <c r="G27" s="23">
        <f>IF(A27="","",COUNTIF('Jobs'!$B$2:$B$501,A27))</f>
        <v/>
      </c>
      <c r="H27" s="20">
        <f>IF(A27="","",SUMIF('Jobs'!$B$2:$B$501,A27,'Jobs'!$H$2:$H$501))</f>
        <v/>
      </c>
      <c r="I27" s="20">
        <f>IF(A27="","",SUMIFS('Jobs'!$H$2:$H$501,'Jobs'!$B$2:$B$501,A27,'Jobs'!$I$2:$I$501,"No"))</f>
        <v/>
      </c>
      <c r="J27" s="24">
        <f>IF(A27="","",IF(COUNTIF('Jobs'!$B$2:$B$501,A27)=0,"",SUMPRODUCT(MAX(('Jobs'!$B$2:$B$501=A27)*'Jobs'!$A$2:$A$501))))</f>
        <v/>
      </c>
    </row>
    <row r="28">
      <c r="G28" s="23">
        <f>IF(A28="","",COUNTIF('Jobs'!$B$2:$B$501,A28))</f>
        <v/>
      </c>
      <c r="H28" s="20">
        <f>IF(A28="","",SUMIF('Jobs'!$B$2:$B$501,A28,'Jobs'!$H$2:$H$501))</f>
        <v/>
      </c>
      <c r="I28" s="20">
        <f>IF(A28="","",SUMIFS('Jobs'!$H$2:$H$501,'Jobs'!$B$2:$B$501,A28,'Jobs'!$I$2:$I$501,"No"))</f>
        <v/>
      </c>
      <c r="J28" s="24">
        <f>IF(A28="","",IF(COUNTIF('Jobs'!$B$2:$B$501,A28)=0,"",SUMPRODUCT(MAX(('Jobs'!$B$2:$B$501=A28)*'Jobs'!$A$2:$A$501))))</f>
        <v/>
      </c>
    </row>
    <row r="29">
      <c r="G29" s="23">
        <f>IF(A29="","",COUNTIF('Jobs'!$B$2:$B$501,A29))</f>
        <v/>
      </c>
      <c r="H29" s="20">
        <f>IF(A29="","",SUMIF('Jobs'!$B$2:$B$501,A29,'Jobs'!$H$2:$H$501))</f>
        <v/>
      </c>
      <c r="I29" s="20">
        <f>IF(A29="","",SUMIFS('Jobs'!$H$2:$H$501,'Jobs'!$B$2:$B$501,A29,'Jobs'!$I$2:$I$501,"No"))</f>
        <v/>
      </c>
      <c r="J29" s="24">
        <f>IF(A29="","",IF(COUNTIF('Jobs'!$B$2:$B$501,A29)=0,"",SUMPRODUCT(MAX(('Jobs'!$B$2:$B$501=A29)*'Jobs'!$A$2:$A$501))))</f>
        <v/>
      </c>
    </row>
    <row r="30">
      <c r="G30" s="23">
        <f>IF(A30="","",COUNTIF('Jobs'!$B$2:$B$501,A30))</f>
        <v/>
      </c>
      <c r="H30" s="20">
        <f>IF(A30="","",SUMIF('Jobs'!$B$2:$B$501,A30,'Jobs'!$H$2:$H$501))</f>
        <v/>
      </c>
      <c r="I30" s="20">
        <f>IF(A30="","",SUMIFS('Jobs'!$H$2:$H$501,'Jobs'!$B$2:$B$501,A30,'Jobs'!$I$2:$I$501,"No"))</f>
        <v/>
      </c>
      <c r="J30" s="24">
        <f>IF(A30="","",IF(COUNTIF('Jobs'!$B$2:$B$501,A30)=0,"",SUMPRODUCT(MAX(('Jobs'!$B$2:$B$501=A30)*'Jobs'!$A$2:$A$501))))</f>
        <v/>
      </c>
    </row>
    <row r="31">
      <c r="G31" s="23">
        <f>IF(A31="","",COUNTIF('Jobs'!$B$2:$B$501,A31))</f>
        <v/>
      </c>
      <c r="H31" s="20">
        <f>IF(A31="","",SUMIF('Jobs'!$B$2:$B$501,A31,'Jobs'!$H$2:$H$501))</f>
        <v/>
      </c>
      <c r="I31" s="20">
        <f>IF(A31="","",SUMIFS('Jobs'!$H$2:$H$501,'Jobs'!$B$2:$B$501,A31,'Jobs'!$I$2:$I$501,"No"))</f>
        <v/>
      </c>
      <c r="J31" s="24">
        <f>IF(A31="","",IF(COUNTIF('Jobs'!$B$2:$B$501,A31)=0,"",SUMPRODUCT(MAX(('Jobs'!$B$2:$B$501=A31)*'Jobs'!$A$2:$A$501))))</f>
        <v/>
      </c>
    </row>
    <row r="32">
      <c r="G32" s="23">
        <f>IF(A32="","",COUNTIF('Jobs'!$B$2:$B$501,A32))</f>
        <v/>
      </c>
      <c r="H32" s="20">
        <f>IF(A32="","",SUMIF('Jobs'!$B$2:$B$501,A32,'Jobs'!$H$2:$H$501))</f>
        <v/>
      </c>
      <c r="I32" s="20">
        <f>IF(A32="","",SUMIFS('Jobs'!$H$2:$H$501,'Jobs'!$B$2:$B$501,A32,'Jobs'!$I$2:$I$501,"No"))</f>
        <v/>
      </c>
      <c r="J32" s="24">
        <f>IF(A32="","",IF(COUNTIF('Jobs'!$B$2:$B$501,A32)=0,"",SUMPRODUCT(MAX(('Jobs'!$B$2:$B$501=A32)*'Jobs'!$A$2:$A$501))))</f>
        <v/>
      </c>
    </row>
    <row r="33">
      <c r="G33" s="23">
        <f>IF(A33="","",COUNTIF('Jobs'!$B$2:$B$501,A33))</f>
        <v/>
      </c>
      <c r="H33" s="20">
        <f>IF(A33="","",SUMIF('Jobs'!$B$2:$B$501,A33,'Jobs'!$H$2:$H$501))</f>
        <v/>
      </c>
      <c r="I33" s="20">
        <f>IF(A33="","",SUMIFS('Jobs'!$H$2:$H$501,'Jobs'!$B$2:$B$501,A33,'Jobs'!$I$2:$I$501,"No"))</f>
        <v/>
      </c>
      <c r="J33" s="24">
        <f>IF(A33="","",IF(COUNTIF('Jobs'!$B$2:$B$501,A33)=0,"",SUMPRODUCT(MAX(('Jobs'!$B$2:$B$501=A33)*'Jobs'!$A$2:$A$501))))</f>
        <v/>
      </c>
    </row>
    <row r="34">
      <c r="G34" s="23">
        <f>IF(A34="","",COUNTIF('Jobs'!$B$2:$B$501,A34))</f>
        <v/>
      </c>
      <c r="H34" s="20">
        <f>IF(A34="","",SUMIF('Jobs'!$B$2:$B$501,A34,'Jobs'!$H$2:$H$501))</f>
        <v/>
      </c>
      <c r="I34" s="20">
        <f>IF(A34="","",SUMIFS('Jobs'!$H$2:$H$501,'Jobs'!$B$2:$B$501,A34,'Jobs'!$I$2:$I$501,"No"))</f>
        <v/>
      </c>
      <c r="J34" s="24">
        <f>IF(A34="","",IF(COUNTIF('Jobs'!$B$2:$B$501,A34)=0,"",SUMPRODUCT(MAX(('Jobs'!$B$2:$B$501=A34)*'Jobs'!$A$2:$A$501))))</f>
        <v/>
      </c>
    </row>
    <row r="35">
      <c r="G35" s="23">
        <f>IF(A35="","",COUNTIF('Jobs'!$B$2:$B$501,A35))</f>
        <v/>
      </c>
      <c r="H35" s="20">
        <f>IF(A35="","",SUMIF('Jobs'!$B$2:$B$501,A35,'Jobs'!$H$2:$H$501))</f>
        <v/>
      </c>
      <c r="I35" s="20">
        <f>IF(A35="","",SUMIFS('Jobs'!$H$2:$H$501,'Jobs'!$B$2:$B$501,A35,'Jobs'!$I$2:$I$501,"No"))</f>
        <v/>
      </c>
      <c r="J35" s="24">
        <f>IF(A35="","",IF(COUNTIF('Jobs'!$B$2:$B$501,A35)=0,"",SUMPRODUCT(MAX(('Jobs'!$B$2:$B$501=A35)*'Jobs'!$A$2:$A$501))))</f>
        <v/>
      </c>
    </row>
    <row r="36">
      <c r="G36" s="23">
        <f>IF(A36="","",COUNTIF('Jobs'!$B$2:$B$501,A36))</f>
        <v/>
      </c>
      <c r="H36" s="20">
        <f>IF(A36="","",SUMIF('Jobs'!$B$2:$B$501,A36,'Jobs'!$H$2:$H$501))</f>
        <v/>
      </c>
      <c r="I36" s="20">
        <f>IF(A36="","",SUMIFS('Jobs'!$H$2:$H$501,'Jobs'!$B$2:$B$501,A36,'Jobs'!$I$2:$I$501,"No"))</f>
        <v/>
      </c>
      <c r="J36" s="24">
        <f>IF(A36="","",IF(COUNTIF('Jobs'!$B$2:$B$501,A36)=0,"",SUMPRODUCT(MAX(('Jobs'!$B$2:$B$501=A36)*'Jobs'!$A$2:$A$501))))</f>
        <v/>
      </c>
    </row>
    <row r="37">
      <c r="G37" s="23">
        <f>IF(A37="","",COUNTIF('Jobs'!$B$2:$B$501,A37))</f>
        <v/>
      </c>
      <c r="H37" s="20">
        <f>IF(A37="","",SUMIF('Jobs'!$B$2:$B$501,A37,'Jobs'!$H$2:$H$501))</f>
        <v/>
      </c>
      <c r="I37" s="20">
        <f>IF(A37="","",SUMIFS('Jobs'!$H$2:$H$501,'Jobs'!$B$2:$B$501,A37,'Jobs'!$I$2:$I$501,"No"))</f>
        <v/>
      </c>
      <c r="J37" s="24">
        <f>IF(A37="","",IF(COUNTIF('Jobs'!$B$2:$B$501,A37)=0,"",SUMPRODUCT(MAX(('Jobs'!$B$2:$B$501=A37)*'Jobs'!$A$2:$A$501))))</f>
        <v/>
      </c>
    </row>
    <row r="38">
      <c r="G38" s="23">
        <f>IF(A38="","",COUNTIF('Jobs'!$B$2:$B$501,A38))</f>
        <v/>
      </c>
      <c r="H38" s="20">
        <f>IF(A38="","",SUMIF('Jobs'!$B$2:$B$501,A38,'Jobs'!$H$2:$H$501))</f>
        <v/>
      </c>
      <c r="I38" s="20">
        <f>IF(A38="","",SUMIFS('Jobs'!$H$2:$H$501,'Jobs'!$B$2:$B$501,A38,'Jobs'!$I$2:$I$501,"No"))</f>
        <v/>
      </c>
      <c r="J38" s="24">
        <f>IF(A38="","",IF(COUNTIF('Jobs'!$B$2:$B$501,A38)=0,"",SUMPRODUCT(MAX(('Jobs'!$B$2:$B$501=A38)*'Jobs'!$A$2:$A$501))))</f>
        <v/>
      </c>
    </row>
    <row r="39">
      <c r="G39" s="23">
        <f>IF(A39="","",COUNTIF('Jobs'!$B$2:$B$501,A39))</f>
        <v/>
      </c>
      <c r="H39" s="20">
        <f>IF(A39="","",SUMIF('Jobs'!$B$2:$B$501,A39,'Jobs'!$H$2:$H$501))</f>
        <v/>
      </c>
      <c r="I39" s="20">
        <f>IF(A39="","",SUMIFS('Jobs'!$H$2:$H$501,'Jobs'!$B$2:$B$501,A39,'Jobs'!$I$2:$I$501,"No"))</f>
        <v/>
      </c>
      <c r="J39" s="24">
        <f>IF(A39="","",IF(COUNTIF('Jobs'!$B$2:$B$501,A39)=0,"",SUMPRODUCT(MAX(('Jobs'!$B$2:$B$501=A39)*'Jobs'!$A$2:$A$501))))</f>
        <v/>
      </c>
    </row>
    <row r="40">
      <c r="G40" s="23">
        <f>IF(A40="","",COUNTIF('Jobs'!$B$2:$B$501,A40))</f>
        <v/>
      </c>
      <c r="H40" s="20">
        <f>IF(A40="","",SUMIF('Jobs'!$B$2:$B$501,A40,'Jobs'!$H$2:$H$501))</f>
        <v/>
      </c>
      <c r="I40" s="20">
        <f>IF(A40="","",SUMIFS('Jobs'!$H$2:$H$501,'Jobs'!$B$2:$B$501,A40,'Jobs'!$I$2:$I$501,"No"))</f>
        <v/>
      </c>
      <c r="J40" s="24">
        <f>IF(A40="","",IF(COUNTIF('Jobs'!$B$2:$B$501,A40)=0,"",SUMPRODUCT(MAX(('Jobs'!$B$2:$B$501=A40)*'Jobs'!$A$2:$A$501))))</f>
        <v/>
      </c>
    </row>
    <row r="41">
      <c r="G41" s="23">
        <f>IF(A41="","",COUNTIF('Jobs'!$B$2:$B$501,A41))</f>
        <v/>
      </c>
      <c r="H41" s="20">
        <f>IF(A41="","",SUMIF('Jobs'!$B$2:$B$501,A41,'Jobs'!$H$2:$H$501))</f>
        <v/>
      </c>
      <c r="I41" s="20">
        <f>IF(A41="","",SUMIFS('Jobs'!$H$2:$H$501,'Jobs'!$B$2:$B$501,A41,'Jobs'!$I$2:$I$501,"No"))</f>
        <v/>
      </c>
      <c r="J41" s="24">
        <f>IF(A41="","",IF(COUNTIF('Jobs'!$B$2:$B$501,A41)=0,"",SUMPRODUCT(MAX(('Jobs'!$B$2:$B$501=A41)*'Jobs'!$A$2:$A$501))))</f>
        <v/>
      </c>
    </row>
    <row r="42">
      <c r="G42" s="23">
        <f>IF(A42="","",COUNTIF('Jobs'!$B$2:$B$501,A42))</f>
        <v/>
      </c>
      <c r="H42" s="20">
        <f>IF(A42="","",SUMIF('Jobs'!$B$2:$B$501,A42,'Jobs'!$H$2:$H$501))</f>
        <v/>
      </c>
      <c r="I42" s="20">
        <f>IF(A42="","",SUMIFS('Jobs'!$H$2:$H$501,'Jobs'!$B$2:$B$501,A42,'Jobs'!$I$2:$I$501,"No"))</f>
        <v/>
      </c>
      <c r="J42" s="24">
        <f>IF(A42="","",IF(COUNTIF('Jobs'!$B$2:$B$501,A42)=0,"",SUMPRODUCT(MAX(('Jobs'!$B$2:$B$501=A42)*'Jobs'!$A$2:$A$501))))</f>
        <v/>
      </c>
    </row>
    <row r="43">
      <c r="G43" s="23">
        <f>IF(A43="","",COUNTIF('Jobs'!$B$2:$B$501,A43))</f>
        <v/>
      </c>
      <c r="H43" s="20">
        <f>IF(A43="","",SUMIF('Jobs'!$B$2:$B$501,A43,'Jobs'!$H$2:$H$501))</f>
        <v/>
      </c>
      <c r="I43" s="20">
        <f>IF(A43="","",SUMIFS('Jobs'!$H$2:$H$501,'Jobs'!$B$2:$B$501,A43,'Jobs'!$I$2:$I$501,"No"))</f>
        <v/>
      </c>
      <c r="J43" s="24">
        <f>IF(A43="","",IF(COUNTIF('Jobs'!$B$2:$B$501,A43)=0,"",SUMPRODUCT(MAX(('Jobs'!$B$2:$B$501=A43)*'Jobs'!$A$2:$A$501))))</f>
        <v/>
      </c>
    </row>
    <row r="44">
      <c r="G44" s="23">
        <f>IF(A44="","",COUNTIF('Jobs'!$B$2:$B$501,A44))</f>
        <v/>
      </c>
      <c r="H44" s="20">
        <f>IF(A44="","",SUMIF('Jobs'!$B$2:$B$501,A44,'Jobs'!$H$2:$H$501))</f>
        <v/>
      </c>
      <c r="I44" s="20">
        <f>IF(A44="","",SUMIFS('Jobs'!$H$2:$H$501,'Jobs'!$B$2:$B$501,A44,'Jobs'!$I$2:$I$501,"No"))</f>
        <v/>
      </c>
      <c r="J44" s="24">
        <f>IF(A44="","",IF(COUNTIF('Jobs'!$B$2:$B$501,A44)=0,"",SUMPRODUCT(MAX(('Jobs'!$B$2:$B$501=A44)*'Jobs'!$A$2:$A$501))))</f>
        <v/>
      </c>
    </row>
    <row r="45">
      <c r="G45" s="23">
        <f>IF(A45="","",COUNTIF('Jobs'!$B$2:$B$501,A45))</f>
        <v/>
      </c>
      <c r="H45" s="20">
        <f>IF(A45="","",SUMIF('Jobs'!$B$2:$B$501,A45,'Jobs'!$H$2:$H$501))</f>
        <v/>
      </c>
      <c r="I45" s="20">
        <f>IF(A45="","",SUMIFS('Jobs'!$H$2:$H$501,'Jobs'!$B$2:$B$501,A45,'Jobs'!$I$2:$I$501,"No"))</f>
        <v/>
      </c>
      <c r="J45" s="24">
        <f>IF(A45="","",IF(COUNTIF('Jobs'!$B$2:$B$501,A45)=0,"",SUMPRODUCT(MAX(('Jobs'!$B$2:$B$501=A45)*'Jobs'!$A$2:$A$501))))</f>
        <v/>
      </c>
    </row>
    <row r="46">
      <c r="G46" s="23">
        <f>IF(A46="","",COUNTIF('Jobs'!$B$2:$B$501,A46))</f>
        <v/>
      </c>
      <c r="H46" s="20">
        <f>IF(A46="","",SUMIF('Jobs'!$B$2:$B$501,A46,'Jobs'!$H$2:$H$501))</f>
        <v/>
      </c>
      <c r="I46" s="20">
        <f>IF(A46="","",SUMIFS('Jobs'!$H$2:$H$501,'Jobs'!$B$2:$B$501,A46,'Jobs'!$I$2:$I$501,"No"))</f>
        <v/>
      </c>
      <c r="J46" s="24">
        <f>IF(A46="","",IF(COUNTIF('Jobs'!$B$2:$B$501,A46)=0,"",SUMPRODUCT(MAX(('Jobs'!$B$2:$B$501=A46)*'Jobs'!$A$2:$A$501))))</f>
        <v/>
      </c>
    </row>
    <row r="47">
      <c r="G47" s="23">
        <f>IF(A47="","",COUNTIF('Jobs'!$B$2:$B$501,A47))</f>
        <v/>
      </c>
      <c r="H47" s="20">
        <f>IF(A47="","",SUMIF('Jobs'!$B$2:$B$501,A47,'Jobs'!$H$2:$H$501))</f>
        <v/>
      </c>
      <c r="I47" s="20">
        <f>IF(A47="","",SUMIFS('Jobs'!$H$2:$H$501,'Jobs'!$B$2:$B$501,A47,'Jobs'!$I$2:$I$501,"No"))</f>
        <v/>
      </c>
      <c r="J47" s="24">
        <f>IF(A47="","",IF(COUNTIF('Jobs'!$B$2:$B$501,A47)=0,"",SUMPRODUCT(MAX(('Jobs'!$B$2:$B$501=A47)*'Jobs'!$A$2:$A$501))))</f>
        <v/>
      </c>
    </row>
    <row r="48">
      <c r="G48" s="23">
        <f>IF(A48="","",COUNTIF('Jobs'!$B$2:$B$501,A48))</f>
        <v/>
      </c>
      <c r="H48" s="20">
        <f>IF(A48="","",SUMIF('Jobs'!$B$2:$B$501,A48,'Jobs'!$H$2:$H$501))</f>
        <v/>
      </c>
      <c r="I48" s="20">
        <f>IF(A48="","",SUMIFS('Jobs'!$H$2:$H$501,'Jobs'!$B$2:$B$501,A48,'Jobs'!$I$2:$I$501,"No"))</f>
        <v/>
      </c>
      <c r="J48" s="24">
        <f>IF(A48="","",IF(COUNTIF('Jobs'!$B$2:$B$501,A48)=0,"",SUMPRODUCT(MAX(('Jobs'!$B$2:$B$501=A48)*'Jobs'!$A$2:$A$501))))</f>
        <v/>
      </c>
    </row>
    <row r="49">
      <c r="G49" s="23">
        <f>IF(A49="","",COUNTIF('Jobs'!$B$2:$B$501,A49))</f>
        <v/>
      </c>
      <c r="H49" s="20">
        <f>IF(A49="","",SUMIF('Jobs'!$B$2:$B$501,A49,'Jobs'!$H$2:$H$501))</f>
        <v/>
      </c>
      <c r="I49" s="20">
        <f>IF(A49="","",SUMIFS('Jobs'!$H$2:$H$501,'Jobs'!$B$2:$B$501,A49,'Jobs'!$I$2:$I$501,"No"))</f>
        <v/>
      </c>
      <c r="J49" s="24">
        <f>IF(A49="","",IF(COUNTIF('Jobs'!$B$2:$B$501,A49)=0,"",SUMPRODUCT(MAX(('Jobs'!$B$2:$B$501=A49)*'Jobs'!$A$2:$A$501))))</f>
        <v/>
      </c>
    </row>
    <row r="50">
      <c r="G50" s="23">
        <f>IF(A50="","",COUNTIF('Jobs'!$B$2:$B$501,A50))</f>
        <v/>
      </c>
      <c r="H50" s="20">
        <f>IF(A50="","",SUMIF('Jobs'!$B$2:$B$501,A50,'Jobs'!$H$2:$H$501))</f>
        <v/>
      </c>
      <c r="I50" s="20">
        <f>IF(A50="","",SUMIFS('Jobs'!$H$2:$H$501,'Jobs'!$B$2:$B$501,A50,'Jobs'!$I$2:$I$501,"No"))</f>
        <v/>
      </c>
      <c r="J50" s="24">
        <f>IF(A50="","",IF(COUNTIF('Jobs'!$B$2:$B$501,A50)=0,"",SUMPRODUCT(MAX(('Jobs'!$B$2:$B$501=A50)*'Jobs'!$A$2:$A$501))))</f>
        <v/>
      </c>
    </row>
    <row r="51">
      <c r="G51" s="23">
        <f>IF(A51="","",COUNTIF('Jobs'!$B$2:$B$501,A51))</f>
        <v/>
      </c>
      <c r="H51" s="20">
        <f>IF(A51="","",SUMIF('Jobs'!$B$2:$B$501,A51,'Jobs'!$H$2:$H$501))</f>
        <v/>
      </c>
      <c r="I51" s="20">
        <f>IF(A51="","",SUMIFS('Jobs'!$H$2:$H$501,'Jobs'!$B$2:$B$501,A51,'Jobs'!$I$2:$I$501,"No"))</f>
        <v/>
      </c>
      <c r="J51" s="24">
        <f>IF(A51="","",IF(COUNTIF('Jobs'!$B$2:$B$501,A51)=0,"",SUMPRODUCT(MAX(('Jobs'!$B$2:$B$501=A51)*'Jobs'!$A$2:$A$501))))</f>
        <v/>
      </c>
    </row>
    <row r="52">
      <c r="G52" s="23">
        <f>IF(A52="","",COUNTIF('Jobs'!$B$2:$B$501,A52))</f>
        <v/>
      </c>
      <c r="H52" s="20">
        <f>IF(A52="","",SUMIF('Jobs'!$B$2:$B$501,A52,'Jobs'!$H$2:$H$501))</f>
        <v/>
      </c>
      <c r="I52" s="20">
        <f>IF(A52="","",SUMIFS('Jobs'!$H$2:$H$501,'Jobs'!$B$2:$B$501,A52,'Jobs'!$I$2:$I$501,"No"))</f>
        <v/>
      </c>
      <c r="J52" s="24">
        <f>IF(A52="","",IF(COUNTIF('Jobs'!$B$2:$B$501,A52)=0,"",SUMPRODUCT(MAX(('Jobs'!$B$2:$B$501=A52)*'Jobs'!$A$2:$A$501))))</f>
        <v/>
      </c>
    </row>
    <row r="53">
      <c r="G53" s="23">
        <f>IF(A53="","",COUNTIF('Jobs'!$B$2:$B$501,A53))</f>
        <v/>
      </c>
      <c r="H53" s="20">
        <f>IF(A53="","",SUMIF('Jobs'!$B$2:$B$501,A53,'Jobs'!$H$2:$H$501))</f>
        <v/>
      </c>
      <c r="I53" s="20">
        <f>IF(A53="","",SUMIFS('Jobs'!$H$2:$H$501,'Jobs'!$B$2:$B$501,A53,'Jobs'!$I$2:$I$501,"No"))</f>
        <v/>
      </c>
      <c r="J53" s="24">
        <f>IF(A53="","",IF(COUNTIF('Jobs'!$B$2:$B$501,A53)=0,"",SUMPRODUCT(MAX(('Jobs'!$B$2:$B$501=A53)*'Jobs'!$A$2:$A$501))))</f>
        <v/>
      </c>
    </row>
    <row r="54">
      <c r="G54" s="23">
        <f>IF(A54="","",COUNTIF('Jobs'!$B$2:$B$501,A54))</f>
        <v/>
      </c>
      <c r="H54" s="20">
        <f>IF(A54="","",SUMIF('Jobs'!$B$2:$B$501,A54,'Jobs'!$H$2:$H$501))</f>
        <v/>
      </c>
      <c r="I54" s="20">
        <f>IF(A54="","",SUMIFS('Jobs'!$H$2:$H$501,'Jobs'!$B$2:$B$501,A54,'Jobs'!$I$2:$I$501,"No"))</f>
        <v/>
      </c>
      <c r="J54" s="24">
        <f>IF(A54="","",IF(COUNTIF('Jobs'!$B$2:$B$501,A54)=0,"",SUMPRODUCT(MAX(('Jobs'!$B$2:$B$501=A54)*'Jobs'!$A$2:$A$501))))</f>
        <v/>
      </c>
    </row>
    <row r="55">
      <c r="G55" s="23">
        <f>IF(A55="","",COUNTIF('Jobs'!$B$2:$B$501,A55))</f>
        <v/>
      </c>
      <c r="H55" s="20">
        <f>IF(A55="","",SUMIF('Jobs'!$B$2:$B$501,A55,'Jobs'!$H$2:$H$501))</f>
        <v/>
      </c>
      <c r="I55" s="20">
        <f>IF(A55="","",SUMIFS('Jobs'!$H$2:$H$501,'Jobs'!$B$2:$B$501,A55,'Jobs'!$I$2:$I$501,"No"))</f>
        <v/>
      </c>
      <c r="J55" s="24">
        <f>IF(A55="","",IF(COUNTIF('Jobs'!$B$2:$B$501,A55)=0,"",SUMPRODUCT(MAX(('Jobs'!$B$2:$B$501=A55)*'Jobs'!$A$2:$A$501))))</f>
        <v/>
      </c>
    </row>
    <row r="56">
      <c r="G56" s="23">
        <f>IF(A56="","",COUNTIF('Jobs'!$B$2:$B$501,A56))</f>
        <v/>
      </c>
      <c r="H56" s="20">
        <f>IF(A56="","",SUMIF('Jobs'!$B$2:$B$501,A56,'Jobs'!$H$2:$H$501))</f>
        <v/>
      </c>
      <c r="I56" s="20">
        <f>IF(A56="","",SUMIFS('Jobs'!$H$2:$H$501,'Jobs'!$B$2:$B$501,A56,'Jobs'!$I$2:$I$501,"No"))</f>
        <v/>
      </c>
      <c r="J56" s="24">
        <f>IF(A56="","",IF(COUNTIF('Jobs'!$B$2:$B$501,A56)=0,"",SUMPRODUCT(MAX(('Jobs'!$B$2:$B$501=A56)*'Jobs'!$A$2:$A$501))))</f>
        <v/>
      </c>
    </row>
    <row r="57">
      <c r="G57" s="23">
        <f>IF(A57="","",COUNTIF('Jobs'!$B$2:$B$501,A57))</f>
        <v/>
      </c>
      <c r="H57" s="20">
        <f>IF(A57="","",SUMIF('Jobs'!$B$2:$B$501,A57,'Jobs'!$H$2:$H$501))</f>
        <v/>
      </c>
      <c r="I57" s="20">
        <f>IF(A57="","",SUMIFS('Jobs'!$H$2:$H$501,'Jobs'!$B$2:$B$501,A57,'Jobs'!$I$2:$I$501,"No"))</f>
        <v/>
      </c>
      <c r="J57" s="24">
        <f>IF(A57="","",IF(COUNTIF('Jobs'!$B$2:$B$501,A57)=0,"",SUMPRODUCT(MAX(('Jobs'!$B$2:$B$501=A57)*'Jobs'!$A$2:$A$501))))</f>
        <v/>
      </c>
    </row>
    <row r="58">
      <c r="G58" s="23">
        <f>IF(A58="","",COUNTIF('Jobs'!$B$2:$B$501,A58))</f>
        <v/>
      </c>
      <c r="H58" s="20">
        <f>IF(A58="","",SUMIF('Jobs'!$B$2:$B$501,A58,'Jobs'!$H$2:$H$501))</f>
        <v/>
      </c>
      <c r="I58" s="20">
        <f>IF(A58="","",SUMIFS('Jobs'!$H$2:$H$501,'Jobs'!$B$2:$B$501,A58,'Jobs'!$I$2:$I$501,"No"))</f>
        <v/>
      </c>
      <c r="J58" s="24">
        <f>IF(A58="","",IF(COUNTIF('Jobs'!$B$2:$B$501,A58)=0,"",SUMPRODUCT(MAX(('Jobs'!$B$2:$B$501=A58)*'Jobs'!$A$2:$A$501))))</f>
        <v/>
      </c>
    </row>
    <row r="59">
      <c r="G59" s="23">
        <f>IF(A59="","",COUNTIF('Jobs'!$B$2:$B$501,A59))</f>
        <v/>
      </c>
      <c r="H59" s="20">
        <f>IF(A59="","",SUMIF('Jobs'!$B$2:$B$501,A59,'Jobs'!$H$2:$H$501))</f>
        <v/>
      </c>
      <c r="I59" s="20">
        <f>IF(A59="","",SUMIFS('Jobs'!$H$2:$H$501,'Jobs'!$B$2:$B$501,A59,'Jobs'!$I$2:$I$501,"No"))</f>
        <v/>
      </c>
      <c r="J59" s="24">
        <f>IF(A59="","",IF(COUNTIF('Jobs'!$B$2:$B$501,A59)=0,"",SUMPRODUCT(MAX(('Jobs'!$B$2:$B$501=A59)*'Jobs'!$A$2:$A$501))))</f>
        <v/>
      </c>
    </row>
    <row r="60">
      <c r="G60" s="23">
        <f>IF(A60="","",COUNTIF('Jobs'!$B$2:$B$501,A60))</f>
        <v/>
      </c>
      <c r="H60" s="20">
        <f>IF(A60="","",SUMIF('Jobs'!$B$2:$B$501,A60,'Jobs'!$H$2:$H$501))</f>
        <v/>
      </c>
      <c r="I60" s="20">
        <f>IF(A60="","",SUMIFS('Jobs'!$H$2:$H$501,'Jobs'!$B$2:$B$501,A60,'Jobs'!$I$2:$I$501,"No"))</f>
        <v/>
      </c>
      <c r="J60" s="24">
        <f>IF(A60="","",IF(COUNTIF('Jobs'!$B$2:$B$501,A60)=0,"",SUMPRODUCT(MAX(('Jobs'!$B$2:$B$501=A60)*'Jobs'!$A$2:$A$501))))</f>
        <v/>
      </c>
    </row>
    <row r="61">
      <c r="G61" s="23">
        <f>IF(A61="","",COUNTIF('Jobs'!$B$2:$B$501,A61))</f>
        <v/>
      </c>
      <c r="H61" s="20">
        <f>IF(A61="","",SUMIF('Jobs'!$B$2:$B$501,A61,'Jobs'!$H$2:$H$501))</f>
        <v/>
      </c>
      <c r="I61" s="20">
        <f>IF(A61="","",SUMIFS('Jobs'!$H$2:$H$501,'Jobs'!$B$2:$B$501,A61,'Jobs'!$I$2:$I$501,"No"))</f>
        <v/>
      </c>
      <c r="J61" s="24">
        <f>IF(A61="","",IF(COUNTIF('Jobs'!$B$2:$B$501,A61)=0,"",SUMPRODUCT(MAX(('Jobs'!$B$2:$B$501=A61)*'Jobs'!$A$2:$A$501))))</f>
        <v/>
      </c>
    </row>
    <row r="62">
      <c r="G62" s="23">
        <f>IF(A62="","",COUNTIF('Jobs'!$B$2:$B$501,A62))</f>
        <v/>
      </c>
      <c r="H62" s="20">
        <f>IF(A62="","",SUMIF('Jobs'!$B$2:$B$501,A62,'Jobs'!$H$2:$H$501))</f>
        <v/>
      </c>
      <c r="I62" s="20">
        <f>IF(A62="","",SUMIFS('Jobs'!$H$2:$H$501,'Jobs'!$B$2:$B$501,A62,'Jobs'!$I$2:$I$501,"No"))</f>
        <v/>
      </c>
      <c r="J62" s="24">
        <f>IF(A62="","",IF(COUNTIF('Jobs'!$B$2:$B$501,A62)=0,"",SUMPRODUCT(MAX(('Jobs'!$B$2:$B$501=A62)*'Jobs'!$A$2:$A$501))))</f>
        <v/>
      </c>
    </row>
    <row r="63">
      <c r="G63" s="23">
        <f>IF(A63="","",COUNTIF('Jobs'!$B$2:$B$501,A63))</f>
        <v/>
      </c>
      <c r="H63" s="20">
        <f>IF(A63="","",SUMIF('Jobs'!$B$2:$B$501,A63,'Jobs'!$H$2:$H$501))</f>
        <v/>
      </c>
      <c r="I63" s="20">
        <f>IF(A63="","",SUMIFS('Jobs'!$H$2:$H$501,'Jobs'!$B$2:$B$501,A63,'Jobs'!$I$2:$I$501,"No"))</f>
        <v/>
      </c>
      <c r="J63" s="24">
        <f>IF(A63="","",IF(COUNTIF('Jobs'!$B$2:$B$501,A63)=0,"",SUMPRODUCT(MAX(('Jobs'!$B$2:$B$501=A63)*'Jobs'!$A$2:$A$501))))</f>
        <v/>
      </c>
    </row>
    <row r="64">
      <c r="G64" s="23">
        <f>IF(A64="","",COUNTIF('Jobs'!$B$2:$B$501,A64))</f>
        <v/>
      </c>
      <c r="H64" s="20">
        <f>IF(A64="","",SUMIF('Jobs'!$B$2:$B$501,A64,'Jobs'!$H$2:$H$501))</f>
        <v/>
      </c>
      <c r="I64" s="20">
        <f>IF(A64="","",SUMIFS('Jobs'!$H$2:$H$501,'Jobs'!$B$2:$B$501,A64,'Jobs'!$I$2:$I$501,"No"))</f>
        <v/>
      </c>
      <c r="J64" s="24">
        <f>IF(A64="","",IF(COUNTIF('Jobs'!$B$2:$B$501,A64)=0,"",SUMPRODUCT(MAX(('Jobs'!$B$2:$B$501=A64)*'Jobs'!$A$2:$A$501))))</f>
        <v/>
      </c>
    </row>
    <row r="65">
      <c r="G65" s="23">
        <f>IF(A65="","",COUNTIF('Jobs'!$B$2:$B$501,A65))</f>
        <v/>
      </c>
      <c r="H65" s="20">
        <f>IF(A65="","",SUMIF('Jobs'!$B$2:$B$501,A65,'Jobs'!$H$2:$H$501))</f>
        <v/>
      </c>
      <c r="I65" s="20">
        <f>IF(A65="","",SUMIFS('Jobs'!$H$2:$H$501,'Jobs'!$B$2:$B$501,A65,'Jobs'!$I$2:$I$501,"No"))</f>
        <v/>
      </c>
      <c r="J65" s="24">
        <f>IF(A65="","",IF(COUNTIF('Jobs'!$B$2:$B$501,A65)=0,"",SUMPRODUCT(MAX(('Jobs'!$B$2:$B$501=A65)*'Jobs'!$A$2:$A$501))))</f>
        <v/>
      </c>
    </row>
    <row r="66">
      <c r="G66" s="23">
        <f>IF(A66="","",COUNTIF('Jobs'!$B$2:$B$501,A66))</f>
        <v/>
      </c>
      <c r="H66" s="20">
        <f>IF(A66="","",SUMIF('Jobs'!$B$2:$B$501,A66,'Jobs'!$H$2:$H$501))</f>
        <v/>
      </c>
      <c r="I66" s="20">
        <f>IF(A66="","",SUMIFS('Jobs'!$H$2:$H$501,'Jobs'!$B$2:$B$501,A66,'Jobs'!$I$2:$I$501,"No"))</f>
        <v/>
      </c>
      <c r="J66" s="24">
        <f>IF(A66="","",IF(COUNTIF('Jobs'!$B$2:$B$501,A66)=0,"",SUMPRODUCT(MAX(('Jobs'!$B$2:$B$501=A66)*'Jobs'!$A$2:$A$501))))</f>
        <v/>
      </c>
    </row>
    <row r="67">
      <c r="G67" s="23">
        <f>IF(A67="","",COUNTIF('Jobs'!$B$2:$B$501,A67))</f>
        <v/>
      </c>
      <c r="H67" s="20">
        <f>IF(A67="","",SUMIF('Jobs'!$B$2:$B$501,A67,'Jobs'!$H$2:$H$501))</f>
        <v/>
      </c>
      <c r="I67" s="20">
        <f>IF(A67="","",SUMIFS('Jobs'!$H$2:$H$501,'Jobs'!$B$2:$B$501,A67,'Jobs'!$I$2:$I$501,"No"))</f>
        <v/>
      </c>
      <c r="J67" s="24">
        <f>IF(A67="","",IF(COUNTIF('Jobs'!$B$2:$B$501,A67)=0,"",SUMPRODUCT(MAX(('Jobs'!$B$2:$B$501=A67)*'Jobs'!$A$2:$A$501))))</f>
        <v/>
      </c>
    </row>
    <row r="68">
      <c r="G68" s="23">
        <f>IF(A68="","",COUNTIF('Jobs'!$B$2:$B$501,A68))</f>
        <v/>
      </c>
      <c r="H68" s="20">
        <f>IF(A68="","",SUMIF('Jobs'!$B$2:$B$501,A68,'Jobs'!$H$2:$H$501))</f>
        <v/>
      </c>
      <c r="I68" s="20">
        <f>IF(A68="","",SUMIFS('Jobs'!$H$2:$H$501,'Jobs'!$B$2:$B$501,A68,'Jobs'!$I$2:$I$501,"No"))</f>
        <v/>
      </c>
      <c r="J68" s="24">
        <f>IF(A68="","",IF(COUNTIF('Jobs'!$B$2:$B$501,A68)=0,"",SUMPRODUCT(MAX(('Jobs'!$B$2:$B$501=A68)*'Jobs'!$A$2:$A$501))))</f>
        <v/>
      </c>
    </row>
    <row r="69">
      <c r="G69" s="23">
        <f>IF(A69="","",COUNTIF('Jobs'!$B$2:$B$501,A69))</f>
        <v/>
      </c>
      <c r="H69" s="20">
        <f>IF(A69="","",SUMIF('Jobs'!$B$2:$B$501,A69,'Jobs'!$H$2:$H$501))</f>
        <v/>
      </c>
      <c r="I69" s="20">
        <f>IF(A69="","",SUMIFS('Jobs'!$H$2:$H$501,'Jobs'!$B$2:$B$501,A69,'Jobs'!$I$2:$I$501,"No"))</f>
        <v/>
      </c>
      <c r="J69" s="24">
        <f>IF(A69="","",IF(COUNTIF('Jobs'!$B$2:$B$501,A69)=0,"",SUMPRODUCT(MAX(('Jobs'!$B$2:$B$501=A69)*'Jobs'!$A$2:$A$501))))</f>
        <v/>
      </c>
    </row>
    <row r="70">
      <c r="G70" s="23">
        <f>IF(A70="","",COUNTIF('Jobs'!$B$2:$B$501,A70))</f>
        <v/>
      </c>
      <c r="H70" s="20">
        <f>IF(A70="","",SUMIF('Jobs'!$B$2:$B$501,A70,'Jobs'!$H$2:$H$501))</f>
        <v/>
      </c>
      <c r="I70" s="20">
        <f>IF(A70="","",SUMIFS('Jobs'!$H$2:$H$501,'Jobs'!$B$2:$B$501,A70,'Jobs'!$I$2:$I$501,"No"))</f>
        <v/>
      </c>
      <c r="J70" s="24">
        <f>IF(A70="","",IF(COUNTIF('Jobs'!$B$2:$B$501,A70)=0,"",SUMPRODUCT(MAX(('Jobs'!$B$2:$B$501=A70)*'Jobs'!$A$2:$A$501))))</f>
        <v/>
      </c>
    </row>
    <row r="71">
      <c r="G71" s="23">
        <f>IF(A71="","",COUNTIF('Jobs'!$B$2:$B$501,A71))</f>
        <v/>
      </c>
      <c r="H71" s="20">
        <f>IF(A71="","",SUMIF('Jobs'!$B$2:$B$501,A71,'Jobs'!$H$2:$H$501))</f>
        <v/>
      </c>
      <c r="I71" s="20">
        <f>IF(A71="","",SUMIFS('Jobs'!$H$2:$H$501,'Jobs'!$B$2:$B$501,A71,'Jobs'!$I$2:$I$501,"No"))</f>
        <v/>
      </c>
      <c r="J71" s="24">
        <f>IF(A71="","",IF(COUNTIF('Jobs'!$B$2:$B$501,A71)=0,"",SUMPRODUCT(MAX(('Jobs'!$B$2:$B$501=A71)*'Jobs'!$A$2:$A$501))))</f>
        <v/>
      </c>
    </row>
    <row r="72">
      <c r="G72" s="23">
        <f>IF(A72="","",COUNTIF('Jobs'!$B$2:$B$501,A72))</f>
        <v/>
      </c>
      <c r="H72" s="20">
        <f>IF(A72="","",SUMIF('Jobs'!$B$2:$B$501,A72,'Jobs'!$H$2:$H$501))</f>
        <v/>
      </c>
      <c r="I72" s="20">
        <f>IF(A72="","",SUMIFS('Jobs'!$H$2:$H$501,'Jobs'!$B$2:$B$501,A72,'Jobs'!$I$2:$I$501,"No"))</f>
        <v/>
      </c>
      <c r="J72" s="24">
        <f>IF(A72="","",IF(COUNTIF('Jobs'!$B$2:$B$501,A72)=0,"",SUMPRODUCT(MAX(('Jobs'!$B$2:$B$501=A72)*'Jobs'!$A$2:$A$501))))</f>
        <v/>
      </c>
    </row>
    <row r="73">
      <c r="G73" s="23">
        <f>IF(A73="","",COUNTIF('Jobs'!$B$2:$B$501,A73))</f>
        <v/>
      </c>
      <c r="H73" s="20">
        <f>IF(A73="","",SUMIF('Jobs'!$B$2:$B$501,A73,'Jobs'!$H$2:$H$501))</f>
        <v/>
      </c>
      <c r="I73" s="20">
        <f>IF(A73="","",SUMIFS('Jobs'!$H$2:$H$501,'Jobs'!$B$2:$B$501,A73,'Jobs'!$I$2:$I$501,"No"))</f>
        <v/>
      </c>
      <c r="J73" s="24">
        <f>IF(A73="","",IF(COUNTIF('Jobs'!$B$2:$B$501,A73)=0,"",SUMPRODUCT(MAX(('Jobs'!$B$2:$B$501=A73)*'Jobs'!$A$2:$A$501))))</f>
        <v/>
      </c>
    </row>
    <row r="74">
      <c r="G74" s="23">
        <f>IF(A74="","",COUNTIF('Jobs'!$B$2:$B$501,A74))</f>
        <v/>
      </c>
      <c r="H74" s="20">
        <f>IF(A74="","",SUMIF('Jobs'!$B$2:$B$501,A74,'Jobs'!$H$2:$H$501))</f>
        <v/>
      </c>
      <c r="I74" s="20">
        <f>IF(A74="","",SUMIFS('Jobs'!$H$2:$H$501,'Jobs'!$B$2:$B$501,A74,'Jobs'!$I$2:$I$501,"No"))</f>
        <v/>
      </c>
      <c r="J74" s="24">
        <f>IF(A74="","",IF(COUNTIF('Jobs'!$B$2:$B$501,A74)=0,"",SUMPRODUCT(MAX(('Jobs'!$B$2:$B$501=A74)*'Jobs'!$A$2:$A$501))))</f>
        <v/>
      </c>
    </row>
    <row r="75">
      <c r="G75" s="23">
        <f>IF(A75="","",COUNTIF('Jobs'!$B$2:$B$501,A75))</f>
        <v/>
      </c>
      <c r="H75" s="20">
        <f>IF(A75="","",SUMIF('Jobs'!$B$2:$B$501,A75,'Jobs'!$H$2:$H$501))</f>
        <v/>
      </c>
      <c r="I75" s="20">
        <f>IF(A75="","",SUMIFS('Jobs'!$H$2:$H$501,'Jobs'!$B$2:$B$501,A75,'Jobs'!$I$2:$I$501,"No"))</f>
        <v/>
      </c>
      <c r="J75" s="24">
        <f>IF(A75="","",IF(COUNTIF('Jobs'!$B$2:$B$501,A75)=0,"",SUMPRODUCT(MAX(('Jobs'!$B$2:$B$501=A75)*'Jobs'!$A$2:$A$501))))</f>
        <v/>
      </c>
    </row>
    <row r="76">
      <c r="G76" s="23">
        <f>IF(A76="","",COUNTIF('Jobs'!$B$2:$B$501,A76))</f>
        <v/>
      </c>
      <c r="H76" s="20">
        <f>IF(A76="","",SUMIF('Jobs'!$B$2:$B$501,A76,'Jobs'!$H$2:$H$501))</f>
        <v/>
      </c>
      <c r="I76" s="20">
        <f>IF(A76="","",SUMIFS('Jobs'!$H$2:$H$501,'Jobs'!$B$2:$B$501,A76,'Jobs'!$I$2:$I$501,"No"))</f>
        <v/>
      </c>
      <c r="J76" s="24">
        <f>IF(A76="","",IF(COUNTIF('Jobs'!$B$2:$B$501,A76)=0,"",SUMPRODUCT(MAX(('Jobs'!$B$2:$B$501=A76)*'Jobs'!$A$2:$A$501))))</f>
        <v/>
      </c>
    </row>
    <row r="77">
      <c r="G77" s="23">
        <f>IF(A77="","",COUNTIF('Jobs'!$B$2:$B$501,A77))</f>
        <v/>
      </c>
      <c r="H77" s="20">
        <f>IF(A77="","",SUMIF('Jobs'!$B$2:$B$501,A77,'Jobs'!$H$2:$H$501))</f>
        <v/>
      </c>
      <c r="I77" s="20">
        <f>IF(A77="","",SUMIFS('Jobs'!$H$2:$H$501,'Jobs'!$B$2:$B$501,A77,'Jobs'!$I$2:$I$501,"No"))</f>
        <v/>
      </c>
      <c r="J77" s="24">
        <f>IF(A77="","",IF(COUNTIF('Jobs'!$B$2:$B$501,A77)=0,"",SUMPRODUCT(MAX(('Jobs'!$B$2:$B$501=A77)*'Jobs'!$A$2:$A$501))))</f>
        <v/>
      </c>
    </row>
    <row r="78">
      <c r="G78" s="23">
        <f>IF(A78="","",COUNTIF('Jobs'!$B$2:$B$501,A78))</f>
        <v/>
      </c>
      <c r="H78" s="20">
        <f>IF(A78="","",SUMIF('Jobs'!$B$2:$B$501,A78,'Jobs'!$H$2:$H$501))</f>
        <v/>
      </c>
      <c r="I78" s="20">
        <f>IF(A78="","",SUMIFS('Jobs'!$H$2:$H$501,'Jobs'!$B$2:$B$501,A78,'Jobs'!$I$2:$I$501,"No"))</f>
        <v/>
      </c>
      <c r="J78" s="24">
        <f>IF(A78="","",IF(COUNTIF('Jobs'!$B$2:$B$501,A78)=0,"",SUMPRODUCT(MAX(('Jobs'!$B$2:$B$501=A78)*'Jobs'!$A$2:$A$501))))</f>
        <v/>
      </c>
    </row>
    <row r="79">
      <c r="G79" s="23">
        <f>IF(A79="","",COUNTIF('Jobs'!$B$2:$B$501,A79))</f>
        <v/>
      </c>
      <c r="H79" s="20">
        <f>IF(A79="","",SUMIF('Jobs'!$B$2:$B$501,A79,'Jobs'!$H$2:$H$501))</f>
        <v/>
      </c>
      <c r="I79" s="20">
        <f>IF(A79="","",SUMIFS('Jobs'!$H$2:$H$501,'Jobs'!$B$2:$B$501,A79,'Jobs'!$I$2:$I$501,"No"))</f>
        <v/>
      </c>
      <c r="J79" s="24">
        <f>IF(A79="","",IF(COUNTIF('Jobs'!$B$2:$B$501,A79)=0,"",SUMPRODUCT(MAX(('Jobs'!$B$2:$B$501=A79)*'Jobs'!$A$2:$A$501))))</f>
        <v/>
      </c>
    </row>
    <row r="80">
      <c r="G80" s="23">
        <f>IF(A80="","",COUNTIF('Jobs'!$B$2:$B$501,A80))</f>
        <v/>
      </c>
      <c r="H80" s="20">
        <f>IF(A80="","",SUMIF('Jobs'!$B$2:$B$501,A80,'Jobs'!$H$2:$H$501))</f>
        <v/>
      </c>
      <c r="I80" s="20">
        <f>IF(A80="","",SUMIFS('Jobs'!$H$2:$H$501,'Jobs'!$B$2:$B$501,A80,'Jobs'!$I$2:$I$501,"No"))</f>
        <v/>
      </c>
      <c r="J80" s="24">
        <f>IF(A80="","",IF(COUNTIF('Jobs'!$B$2:$B$501,A80)=0,"",SUMPRODUCT(MAX(('Jobs'!$B$2:$B$501=A80)*'Jobs'!$A$2:$A$501))))</f>
        <v/>
      </c>
    </row>
    <row r="81">
      <c r="G81" s="23">
        <f>IF(A81="","",COUNTIF('Jobs'!$B$2:$B$501,A81))</f>
        <v/>
      </c>
      <c r="H81" s="20">
        <f>IF(A81="","",SUMIF('Jobs'!$B$2:$B$501,A81,'Jobs'!$H$2:$H$501))</f>
        <v/>
      </c>
      <c r="I81" s="20">
        <f>IF(A81="","",SUMIFS('Jobs'!$H$2:$H$501,'Jobs'!$B$2:$B$501,A81,'Jobs'!$I$2:$I$501,"No"))</f>
        <v/>
      </c>
      <c r="J81" s="24">
        <f>IF(A81="","",IF(COUNTIF('Jobs'!$B$2:$B$501,A81)=0,"",SUMPRODUCT(MAX(('Jobs'!$B$2:$B$501=A81)*'Jobs'!$A$2:$A$501))))</f>
        <v/>
      </c>
    </row>
    <row r="82">
      <c r="G82" s="23">
        <f>IF(A82="","",COUNTIF('Jobs'!$B$2:$B$501,A82))</f>
        <v/>
      </c>
      <c r="H82" s="20">
        <f>IF(A82="","",SUMIF('Jobs'!$B$2:$B$501,A82,'Jobs'!$H$2:$H$501))</f>
        <v/>
      </c>
      <c r="I82" s="20">
        <f>IF(A82="","",SUMIFS('Jobs'!$H$2:$H$501,'Jobs'!$B$2:$B$501,A82,'Jobs'!$I$2:$I$501,"No"))</f>
        <v/>
      </c>
      <c r="J82" s="24">
        <f>IF(A82="","",IF(COUNTIF('Jobs'!$B$2:$B$501,A82)=0,"",SUMPRODUCT(MAX(('Jobs'!$B$2:$B$501=A82)*'Jobs'!$A$2:$A$501))))</f>
        <v/>
      </c>
    </row>
    <row r="83">
      <c r="G83" s="23">
        <f>IF(A83="","",COUNTIF('Jobs'!$B$2:$B$501,A83))</f>
        <v/>
      </c>
      <c r="H83" s="20">
        <f>IF(A83="","",SUMIF('Jobs'!$B$2:$B$501,A83,'Jobs'!$H$2:$H$501))</f>
        <v/>
      </c>
      <c r="I83" s="20">
        <f>IF(A83="","",SUMIFS('Jobs'!$H$2:$H$501,'Jobs'!$B$2:$B$501,A83,'Jobs'!$I$2:$I$501,"No"))</f>
        <v/>
      </c>
      <c r="J83" s="24">
        <f>IF(A83="","",IF(COUNTIF('Jobs'!$B$2:$B$501,A83)=0,"",SUMPRODUCT(MAX(('Jobs'!$B$2:$B$501=A83)*'Jobs'!$A$2:$A$501))))</f>
        <v/>
      </c>
    </row>
    <row r="84">
      <c r="G84" s="23">
        <f>IF(A84="","",COUNTIF('Jobs'!$B$2:$B$501,A84))</f>
        <v/>
      </c>
      <c r="H84" s="20">
        <f>IF(A84="","",SUMIF('Jobs'!$B$2:$B$501,A84,'Jobs'!$H$2:$H$501))</f>
        <v/>
      </c>
      <c r="I84" s="20">
        <f>IF(A84="","",SUMIFS('Jobs'!$H$2:$H$501,'Jobs'!$B$2:$B$501,A84,'Jobs'!$I$2:$I$501,"No"))</f>
        <v/>
      </c>
      <c r="J84" s="24">
        <f>IF(A84="","",IF(COUNTIF('Jobs'!$B$2:$B$501,A84)=0,"",SUMPRODUCT(MAX(('Jobs'!$B$2:$B$501=A84)*'Jobs'!$A$2:$A$501))))</f>
        <v/>
      </c>
    </row>
    <row r="85">
      <c r="G85" s="23">
        <f>IF(A85="","",COUNTIF('Jobs'!$B$2:$B$501,A85))</f>
        <v/>
      </c>
      <c r="H85" s="20">
        <f>IF(A85="","",SUMIF('Jobs'!$B$2:$B$501,A85,'Jobs'!$H$2:$H$501))</f>
        <v/>
      </c>
      <c r="I85" s="20">
        <f>IF(A85="","",SUMIFS('Jobs'!$H$2:$H$501,'Jobs'!$B$2:$B$501,A85,'Jobs'!$I$2:$I$501,"No"))</f>
        <v/>
      </c>
      <c r="J85" s="24">
        <f>IF(A85="","",IF(COUNTIF('Jobs'!$B$2:$B$501,A85)=0,"",SUMPRODUCT(MAX(('Jobs'!$B$2:$B$501=A85)*'Jobs'!$A$2:$A$501))))</f>
        <v/>
      </c>
    </row>
    <row r="86">
      <c r="G86" s="23">
        <f>IF(A86="","",COUNTIF('Jobs'!$B$2:$B$501,A86))</f>
        <v/>
      </c>
      <c r="H86" s="20">
        <f>IF(A86="","",SUMIF('Jobs'!$B$2:$B$501,A86,'Jobs'!$H$2:$H$501))</f>
        <v/>
      </c>
      <c r="I86" s="20">
        <f>IF(A86="","",SUMIFS('Jobs'!$H$2:$H$501,'Jobs'!$B$2:$B$501,A86,'Jobs'!$I$2:$I$501,"No"))</f>
        <v/>
      </c>
      <c r="J86" s="24">
        <f>IF(A86="","",IF(COUNTIF('Jobs'!$B$2:$B$501,A86)=0,"",SUMPRODUCT(MAX(('Jobs'!$B$2:$B$501=A86)*'Jobs'!$A$2:$A$501))))</f>
        <v/>
      </c>
    </row>
    <row r="87">
      <c r="G87" s="23">
        <f>IF(A87="","",COUNTIF('Jobs'!$B$2:$B$501,A87))</f>
        <v/>
      </c>
      <c r="H87" s="20">
        <f>IF(A87="","",SUMIF('Jobs'!$B$2:$B$501,A87,'Jobs'!$H$2:$H$501))</f>
        <v/>
      </c>
      <c r="I87" s="20">
        <f>IF(A87="","",SUMIFS('Jobs'!$H$2:$H$501,'Jobs'!$B$2:$B$501,A87,'Jobs'!$I$2:$I$501,"No"))</f>
        <v/>
      </c>
      <c r="J87" s="24">
        <f>IF(A87="","",IF(COUNTIF('Jobs'!$B$2:$B$501,A87)=0,"",SUMPRODUCT(MAX(('Jobs'!$B$2:$B$501=A87)*'Jobs'!$A$2:$A$501))))</f>
        <v/>
      </c>
    </row>
    <row r="88">
      <c r="G88" s="23">
        <f>IF(A88="","",COUNTIF('Jobs'!$B$2:$B$501,A88))</f>
        <v/>
      </c>
      <c r="H88" s="20">
        <f>IF(A88="","",SUMIF('Jobs'!$B$2:$B$501,A88,'Jobs'!$H$2:$H$501))</f>
        <v/>
      </c>
      <c r="I88" s="20">
        <f>IF(A88="","",SUMIFS('Jobs'!$H$2:$H$501,'Jobs'!$B$2:$B$501,A88,'Jobs'!$I$2:$I$501,"No"))</f>
        <v/>
      </c>
      <c r="J88" s="24">
        <f>IF(A88="","",IF(COUNTIF('Jobs'!$B$2:$B$501,A88)=0,"",SUMPRODUCT(MAX(('Jobs'!$B$2:$B$501=A88)*'Jobs'!$A$2:$A$501))))</f>
        <v/>
      </c>
    </row>
    <row r="89">
      <c r="G89" s="23">
        <f>IF(A89="","",COUNTIF('Jobs'!$B$2:$B$501,A89))</f>
        <v/>
      </c>
      <c r="H89" s="20">
        <f>IF(A89="","",SUMIF('Jobs'!$B$2:$B$501,A89,'Jobs'!$H$2:$H$501))</f>
        <v/>
      </c>
      <c r="I89" s="20">
        <f>IF(A89="","",SUMIFS('Jobs'!$H$2:$H$501,'Jobs'!$B$2:$B$501,A89,'Jobs'!$I$2:$I$501,"No"))</f>
        <v/>
      </c>
      <c r="J89" s="24">
        <f>IF(A89="","",IF(COUNTIF('Jobs'!$B$2:$B$501,A89)=0,"",SUMPRODUCT(MAX(('Jobs'!$B$2:$B$501=A89)*'Jobs'!$A$2:$A$501))))</f>
        <v/>
      </c>
    </row>
    <row r="90">
      <c r="G90" s="23">
        <f>IF(A90="","",COUNTIF('Jobs'!$B$2:$B$501,A90))</f>
        <v/>
      </c>
      <c r="H90" s="20">
        <f>IF(A90="","",SUMIF('Jobs'!$B$2:$B$501,A90,'Jobs'!$H$2:$H$501))</f>
        <v/>
      </c>
      <c r="I90" s="20">
        <f>IF(A90="","",SUMIFS('Jobs'!$H$2:$H$501,'Jobs'!$B$2:$B$501,A90,'Jobs'!$I$2:$I$501,"No"))</f>
        <v/>
      </c>
      <c r="J90" s="24">
        <f>IF(A90="","",IF(COUNTIF('Jobs'!$B$2:$B$501,A90)=0,"",SUMPRODUCT(MAX(('Jobs'!$B$2:$B$501=A90)*'Jobs'!$A$2:$A$501))))</f>
        <v/>
      </c>
    </row>
    <row r="91">
      <c r="G91" s="23">
        <f>IF(A91="","",COUNTIF('Jobs'!$B$2:$B$501,A91))</f>
        <v/>
      </c>
      <c r="H91" s="20">
        <f>IF(A91="","",SUMIF('Jobs'!$B$2:$B$501,A91,'Jobs'!$H$2:$H$501))</f>
        <v/>
      </c>
      <c r="I91" s="20">
        <f>IF(A91="","",SUMIFS('Jobs'!$H$2:$H$501,'Jobs'!$B$2:$B$501,A91,'Jobs'!$I$2:$I$501,"No"))</f>
        <v/>
      </c>
      <c r="J91" s="24">
        <f>IF(A91="","",IF(COUNTIF('Jobs'!$B$2:$B$501,A91)=0,"",SUMPRODUCT(MAX(('Jobs'!$B$2:$B$501=A91)*'Jobs'!$A$2:$A$501))))</f>
        <v/>
      </c>
    </row>
    <row r="92">
      <c r="G92" s="23">
        <f>IF(A92="","",COUNTIF('Jobs'!$B$2:$B$501,A92))</f>
        <v/>
      </c>
      <c r="H92" s="20">
        <f>IF(A92="","",SUMIF('Jobs'!$B$2:$B$501,A92,'Jobs'!$H$2:$H$501))</f>
        <v/>
      </c>
      <c r="I92" s="20">
        <f>IF(A92="","",SUMIFS('Jobs'!$H$2:$H$501,'Jobs'!$B$2:$B$501,A92,'Jobs'!$I$2:$I$501,"No"))</f>
        <v/>
      </c>
      <c r="J92" s="24">
        <f>IF(A92="","",IF(COUNTIF('Jobs'!$B$2:$B$501,A92)=0,"",SUMPRODUCT(MAX(('Jobs'!$B$2:$B$501=A92)*'Jobs'!$A$2:$A$501))))</f>
        <v/>
      </c>
    </row>
    <row r="93">
      <c r="G93" s="23">
        <f>IF(A93="","",COUNTIF('Jobs'!$B$2:$B$501,A93))</f>
        <v/>
      </c>
      <c r="H93" s="20">
        <f>IF(A93="","",SUMIF('Jobs'!$B$2:$B$501,A93,'Jobs'!$H$2:$H$501))</f>
        <v/>
      </c>
      <c r="I93" s="20">
        <f>IF(A93="","",SUMIFS('Jobs'!$H$2:$H$501,'Jobs'!$B$2:$B$501,A93,'Jobs'!$I$2:$I$501,"No"))</f>
        <v/>
      </c>
      <c r="J93" s="24">
        <f>IF(A93="","",IF(COUNTIF('Jobs'!$B$2:$B$501,A93)=0,"",SUMPRODUCT(MAX(('Jobs'!$B$2:$B$501=A93)*'Jobs'!$A$2:$A$501))))</f>
        <v/>
      </c>
    </row>
    <row r="94">
      <c r="G94" s="23">
        <f>IF(A94="","",COUNTIF('Jobs'!$B$2:$B$501,A94))</f>
        <v/>
      </c>
      <c r="H94" s="20">
        <f>IF(A94="","",SUMIF('Jobs'!$B$2:$B$501,A94,'Jobs'!$H$2:$H$501))</f>
        <v/>
      </c>
      <c r="I94" s="20">
        <f>IF(A94="","",SUMIFS('Jobs'!$H$2:$H$501,'Jobs'!$B$2:$B$501,A94,'Jobs'!$I$2:$I$501,"No"))</f>
        <v/>
      </c>
      <c r="J94" s="24">
        <f>IF(A94="","",IF(COUNTIF('Jobs'!$B$2:$B$501,A94)=0,"",SUMPRODUCT(MAX(('Jobs'!$B$2:$B$501=A94)*'Jobs'!$A$2:$A$501))))</f>
        <v/>
      </c>
    </row>
    <row r="95">
      <c r="G95" s="23">
        <f>IF(A95="","",COUNTIF('Jobs'!$B$2:$B$501,A95))</f>
        <v/>
      </c>
      <c r="H95" s="20">
        <f>IF(A95="","",SUMIF('Jobs'!$B$2:$B$501,A95,'Jobs'!$H$2:$H$501))</f>
        <v/>
      </c>
      <c r="I95" s="20">
        <f>IF(A95="","",SUMIFS('Jobs'!$H$2:$H$501,'Jobs'!$B$2:$B$501,A95,'Jobs'!$I$2:$I$501,"No"))</f>
        <v/>
      </c>
      <c r="J95" s="24">
        <f>IF(A95="","",IF(COUNTIF('Jobs'!$B$2:$B$501,A95)=0,"",SUMPRODUCT(MAX(('Jobs'!$B$2:$B$501=A95)*'Jobs'!$A$2:$A$501))))</f>
        <v/>
      </c>
    </row>
    <row r="96">
      <c r="G96" s="23">
        <f>IF(A96="","",COUNTIF('Jobs'!$B$2:$B$501,A96))</f>
        <v/>
      </c>
      <c r="H96" s="20">
        <f>IF(A96="","",SUMIF('Jobs'!$B$2:$B$501,A96,'Jobs'!$H$2:$H$501))</f>
        <v/>
      </c>
      <c r="I96" s="20">
        <f>IF(A96="","",SUMIFS('Jobs'!$H$2:$H$501,'Jobs'!$B$2:$B$501,A96,'Jobs'!$I$2:$I$501,"No"))</f>
        <v/>
      </c>
      <c r="J96" s="24">
        <f>IF(A96="","",IF(COUNTIF('Jobs'!$B$2:$B$501,A96)=0,"",SUMPRODUCT(MAX(('Jobs'!$B$2:$B$501=A96)*'Jobs'!$A$2:$A$501))))</f>
        <v/>
      </c>
    </row>
    <row r="97">
      <c r="G97" s="23">
        <f>IF(A97="","",COUNTIF('Jobs'!$B$2:$B$501,A97))</f>
        <v/>
      </c>
      <c r="H97" s="20">
        <f>IF(A97="","",SUMIF('Jobs'!$B$2:$B$501,A97,'Jobs'!$H$2:$H$501))</f>
        <v/>
      </c>
      <c r="I97" s="20">
        <f>IF(A97="","",SUMIFS('Jobs'!$H$2:$H$501,'Jobs'!$B$2:$B$501,A97,'Jobs'!$I$2:$I$501,"No"))</f>
        <v/>
      </c>
      <c r="J97" s="24">
        <f>IF(A97="","",IF(COUNTIF('Jobs'!$B$2:$B$501,A97)=0,"",SUMPRODUCT(MAX(('Jobs'!$B$2:$B$501=A97)*'Jobs'!$A$2:$A$501))))</f>
        <v/>
      </c>
    </row>
    <row r="98">
      <c r="G98" s="23">
        <f>IF(A98="","",COUNTIF('Jobs'!$B$2:$B$501,A98))</f>
        <v/>
      </c>
      <c r="H98" s="20">
        <f>IF(A98="","",SUMIF('Jobs'!$B$2:$B$501,A98,'Jobs'!$H$2:$H$501))</f>
        <v/>
      </c>
      <c r="I98" s="20">
        <f>IF(A98="","",SUMIFS('Jobs'!$H$2:$H$501,'Jobs'!$B$2:$B$501,A98,'Jobs'!$I$2:$I$501,"No"))</f>
        <v/>
      </c>
      <c r="J98" s="24">
        <f>IF(A98="","",IF(COUNTIF('Jobs'!$B$2:$B$501,A98)=0,"",SUMPRODUCT(MAX(('Jobs'!$B$2:$B$501=A98)*'Jobs'!$A$2:$A$501))))</f>
        <v/>
      </c>
    </row>
    <row r="99">
      <c r="G99" s="23">
        <f>IF(A99="","",COUNTIF('Jobs'!$B$2:$B$501,A99))</f>
        <v/>
      </c>
      <c r="H99" s="20">
        <f>IF(A99="","",SUMIF('Jobs'!$B$2:$B$501,A99,'Jobs'!$H$2:$H$501))</f>
        <v/>
      </c>
      <c r="I99" s="20">
        <f>IF(A99="","",SUMIFS('Jobs'!$H$2:$H$501,'Jobs'!$B$2:$B$501,A99,'Jobs'!$I$2:$I$501,"No"))</f>
        <v/>
      </c>
      <c r="J99" s="24">
        <f>IF(A99="","",IF(COUNTIF('Jobs'!$B$2:$B$501,A99)=0,"",SUMPRODUCT(MAX(('Jobs'!$B$2:$B$501=A99)*'Jobs'!$A$2:$A$501))))</f>
        <v/>
      </c>
    </row>
    <row r="100">
      <c r="G100" s="23">
        <f>IF(A100="","",COUNTIF('Jobs'!$B$2:$B$501,A100))</f>
        <v/>
      </c>
      <c r="H100" s="20">
        <f>IF(A100="","",SUMIF('Jobs'!$B$2:$B$501,A100,'Jobs'!$H$2:$H$501))</f>
        <v/>
      </c>
      <c r="I100" s="20">
        <f>IF(A100="","",SUMIFS('Jobs'!$H$2:$H$501,'Jobs'!$B$2:$B$501,A100,'Jobs'!$I$2:$I$501,"No"))</f>
        <v/>
      </c>
      <c r="J100" s="24">
        <f>IF(A100="","",IF(COUNTIF('Jobs'!$B$2:$B$501,A100)=0,"",SUMPRODUCT(MAX(('Jobs'!$B$2:$B$501=A100)*'Jobs'!$A$2:$A$501))))</f>
        <v/>
      </c>
    </row>
    <row r="101">
      <c r="G101" s="23">
        <f>IF(A101="","",COUNTIF('Jobs'!$B$2:$B$501,A101))</f>
        <v/>
      </c>
      <c r="H101" s="20">
        <f>IF(A101="","",SUMIF('Jobs'!$B$2:$B$501,A101,'Jobs'!$H$2:$H$501))</f>
        <v/>
      </c>
      <c r="I101" s="20">
        <f>IF(A101="","",SUMIFS('Jobs'!$H$2:$H$501,'Jobs'!$B$2:$B$501,A101,'Jobs'!$I$2:$I$501,"No"))</f>
        <v/>
      </c>
      <c r="J101" s="24">
        <f>IF(A101="","",IF(COUNTIF('Jobs'!$B$2:$B$501,A101)=0,"",SUMPRODUCT(MAX(('Jobs'!$B$2:$B$501=A101)*'Jobs'!$A$2:$A$501))))</f>
        <v/>
      </c>
    </row>
    <row r="102">
      <c r="G102" s="23">
        <f>IF(A102="","",COUNTIF('Jobs'!$B$2:$B$501,A102))</f>
        <v/>
      </c>
      <c r="H102" s="20">
        <f>IF(A102="","",SUMIF('Jobs'!$B$2:$B$501,A102,'Jobs'!$H$2:$H$501))</f>
        <v/>
      </c>
      <c r="I102" s="20">
        <f>IF(A102="","",SUMIFS('Jobs'!$H$2:$H$501,'Jobs'!$B$2:$B$501,A102,'Jobs'!$I$2:$I$501,"No"))</f>
        <v/>
      </c>
      <c r="J102" s="24">
        <f>IF(A102="","",IF(COUNTIF('Jobs'!$B$2:$B$501,A102)=0,"",SUMPRODUCT(MAX(('Jobs'!$B$2:$B$501=A102)*'Jobs'!$A$2:$A$501))))</f>
        <v/>
      </c>
    </row>
    <row r="103">
      <c r="G103" s="23">
        <f>IF(A103="","",COUNTIF('Jobs'!$B$2:$B$501,A103))</f>
        <v/>
      </c>
      <c r="H103" s="20">
        <f>IF(A103="","",SUMIF('Jobs'!$B$2:$B$501,A103,'Jobs'!$H$2:$H$501))</f>
        <v/>
      </c>
      <c r="I103" s="20">
        <f>IF(A103="","",SUMIFS('Jobs'!$H$2:$H$501,'Jobs'!$B$2:$B$501,A103,'Jobs'!$I$2:$I$501,"No"))</f>
        <v/>
      </c>
      <c r="J103" s="24">
        <f>IF(A103="","",IF(COUNTIF('Jobs'!$B$2:$B$501,A103)=0,"",SUMPRODUCT(MAX(('Jobs'!$B$2:$B$501=A103)*'Jobs'!$A$2:$A$501))))</f>
        <v/>
      </c>
    </row>
    <row r="104">
      <c r="G104" s="23">
        <f>IF(A104="","",COUNTIF('Jobs'!$B$2:$B$501,A104))</f>
        <v/>
      </c>
      <c r="H104" s="20">
        <f>IF(A104="","",SUMIF('Jobs'!$B$2:$B$501,A104,'Jobs'!$H$2:$H$501))</f>
        <v/>
      </c>
      <c r="I104" s="20">
        <f>IF(A104="","",SUMIFS('Jobs'!$H$2:$H$501,'Jobs'!$B$2:$B$501,A104,'Jobs'!$I$2:$I$501,"No"))</f>
        <v/>
      </c>
      <c r="J104" s="24">
        <f>IF(A104="","",IF(COUNTIF('Jobs'!$B$2:$B$501,A104)=0,"",SUMPRODUCT(MAX(('Jobs'!$B$2:$B$501=A104)*'Jobs'!$A$2:$A$501))))</f>
        <v/>
      </c>
    </row>
    <row r="105">
      <c r="G105" s="23">
        <f>IF(A105="","",COUNTIF('Jobs'!$B$2:$B$501,A105))</f>
        <v/>
      </c>
      <c r="H105" s="20">
        <f>IF(A105="","",SUMIF('Jobs'!$B$2:$B$501,A105,'Jobs'!$H$2:$H$501))</f>
        <v/>
      </c>
      <c r="I105" s="20">
        <f>IF(A105="","",SUMIFS('Jobs'!$H$2:$H$501,'Jobs'!$B$2:$B$501,A105,'Jobs'!$I$2:$I$501,"No"))</f>
        <v/>
      </c>
      <c r="J105" s="24">
        <f>IF(A105="","",IF(COUNTIF('Jobs'!$B$2:$B$501,A105)=0,"",SUMPRODUCT(MAX(('Jobs'!$B$2:$B$501=A105)*'Jobs'!$A$2:$A$501))))</f>
        <v/>
      </c>
    </row>
    <row r="106">
      <c r="G106" s="23">
        <f>IF(A106="","",COUNTIF('Jobs'!$B$2:$B$501,A106))</f>
        <v/>
      </c>
      <c r="H106" s="20">
        <f>IF(A106="","",SUMIF('Jobs'!$B$2:$B$501,A106,'Jobs'!$H$2:$H$501))</f>
        <v/>
      </c>
      <c r="I106" s="20">
        <f>IF(A106="","",SUMIFS('Jobs'!$H$2:$H$501,'Jobs'!$B$2:$B$501,A106,'Jobs'!$I$2:$I$501,"No"))</f>
        <v/>
      </c>
      <c r="J106" s="24">
        <f>IF(A106="","",IF(COUNTIF('Jobs'!$B$2:$B$501,A106)=0,"",SUMPRODUCT(MAX(('Jobs'!$B$2:$B$501=A106)*'Jobs'!$A$2:$A$501))))</f>
        <v/>
      </c>
    </row>
    <row r="107">
      <c r="G107" s="23">
        <f>IF(A107="","",COUNTIF('Jobs'!$B$2:$B$501,A107))</f>
        <v/>
      </c>
      <c r="H107" s="20">
        <f>IF(A107="","",SUMIF('Jobs'!$B$2:$B$501,A107,'Jobs'!$H$2:$H$501))</f>
        <v/>
      </c>
      <c r="I107" s="20">
        <f>IF(A107="","",SUMIFS('Jobs'!$H$2:$H$501,'Jobs'!$B$2:$B$501,A107,'Jobs'!$I$2:$I$501,"No"))</f>
        <v/>
      </c>
      <c r="J107" s="24">
        <f>IF(A107="","",IF(COUNTIF('Jobs'!$B$2:$B$501,A107)=0,"",SUMPRODUCT(MAX(('Jobs'!$B$2:$B$501=A107)*'Jobs'!$A$2:$A$501))))</f>
        <v/>
      </c>
    </row>
    <row r="108">
      <c r="G108" s="23">
        <f>IF(A108="","",COUNTIF('Jobs'!$B$2:$B$501,A108))</f>
        <v/>
      </c>
      <c r="H108" s="20">
        <f>IF(A108="","",SUMIF('Jobs'!$B$2:$B$501,A108,'Jobs'!$H$2:$H$501))</f>
        <v/>
      </c>
      <c r="I108" s="20">
        <f>IF(A108="","",SUMIFS('Jobs'!$H$2:$H$501,'Jobs'!$B$2:$B$501,A108,'Jobs'!$I$2:$I$501,"No"))</f>
        <v/>
      </c>
      <c r="J108" s="24">
        <f>IF(A108="","",IF(COUNTIF('Jobs'!$B$2:$B$501,A108)=0,"",SUMPRODUCT(MAX(('Jobs'!$B$2:$B$501=A108)*'Jobs'!$A$2:$A$501))))</f>
        <v/>
      </c>
    </row>
    <row r="109">
      <c r="G109" s="23">
        <f>IF(A109="","",COUNTIF('Jobs'!$B$2:$B$501,A109))</f>
        <v/>
      </c>
      <c r="H109" s="20">
        <f>IF(A109="","",SUMIF('Jobs'!$B$2:$B$501,A109,'Jobs'!$H$2:$H$501))</f>
        <v/>
      </c>
      <c r="I109" s="20">
        <f>IF(A109="","",SUMIFS('Jobs'!$H$2:$H$501,'Jobs'!$B$2:$B$501,A109,'Jobs'!$I$2:$I$501,"No"))</f>
        <v/>
      </c>
      <c r="J109" s="24">
        <f>IF(A109="","",IF(COUNTIF('Jobs'!$B$2:$B$501,A109)=0,"",SUMPRODUCT(MAX(('Jobs'!$B$2:$B$501=A109)*'Jobs'!$A$2:$A$501))))</f>
        <v/>
      </c>
    </row>
    <row r="110">
      <c r="G110" s="23">
        <f>IF(A110="","",COUNTIF('Jobs'!$B$2:$B$501,A110))</f>
        <v/>
      </c>
      <c r="H110" s="20">
        <f>IF(A110="","",SUMIF('Jobs'!$B$2:$B$501,A110,'Jobs'!$H$2:$H$501))</f>
        <v/>
      </c>
      <c r="I110" s="20">
        <f>IF(A110="","",SUMIFS('Jobs'!$H$2:$H$501,'Jobs'!$B$2:$B$501,A110,'Jobs'!$I$2:$I$501,"No"))</f>
        <v/>
      </c>
      <c r="J110" s="24">
        <f>IF(A110="","",IF(COUNTIF('Jobs'!$B$2:$B$501,A110)=0,"",SUMPRODUCT(MAX(('Jobs'!$B$2:$B$501=A110)*'Jobs'!$A$2:$A$501))))</f>
        <v/>
      </c>
    </row>
    <row r="111">
      <c r="G111" s="23">
        <f>IF(A111="","",COUNTIF('Jobs'!$B$2:$B$501,A111))</f>
        <v/>
      </c>
      <c r="H111" s="20">
        <f>IF(A111="","",SUMIF('Jobs'!$B$2:$B$501,A111,'Jobs'!$H$2:$H$501))</f>
        <v/>
      </c>
      <c r="I111" s="20">
        <f>IF(A111="","",SUMIFS('Jobs'!$H$2:$H$501,'Jobs'!$B$2:$B$501,A111,'Jobs'!$I$2:$I$501,"No"))</f>
        <v/>
      </c>
      <c r="J111" s="24">
        <f>IF(A111="","",IF(COUNTIF('Jobs'!$B$2:$B$501,A111)=0,"",SUMPRODUCT(MAX(('Jobs'!$B$2:$B$501=A111)*'Jobs'!$A$2:$A$501))))</f>
        <v/>
      </c>
    </row>
    <row r="112">
      <c r="G112" s="23">
        <f>IF(A112="","",COUNTIF('Jobs'!$B$2:$B$501,A112))</f>
        <v/>
      </c>
      <c r="H112" s="20">
        <f>IF(A112="","",SUMIF('Jobs'!$B$2:$B$501,A112,'Jobs'!$H$2:$H$501))</f>
        <v/>
      </c>
      <c r="I112" s="20">
        <f>IF(A112="","",SUMIFS('Jobs'!$H$2:$H$501,'Jobs'!$B$2:$B$501,A112,'Jobs'!$I$2:$I$501,"No"))</f>
        <v/>
      </c>
      <c r="J112" s="24">
        <f>IF(A112="","",IF(COUNTIF('Jobs'!$B$2:$B$501,A112)=0,"",SUMPRODUCT(MAX(('Jobs'!$B$2:$B$501=A112)*'Jobs'!$A$2:$A$501))))</f>
        <v/>
      </c>
    </row>
    <row r="113">
      <c r="G113" s="23">
        <f>IF(A113="","",COUNTIF('Jobs'!$B$2:$B$501,A113))</f>
        <v/>
      </c>
      <c r="H113" s="20">
        <f>IF(A113="","",SUMIF('Jobs'!$B$2:$B$501,A113,'Jobs'!$H$2:$H$501))</f>
        <v/>
      </c>
      <c r="I113" s="20">
        <f>IF(A113="","",SUMIFS('Jobs'!$H$2:$H$501,'Jobs'!$B$2:$B$501,A113,'Jobs'!$I$2:$I$501,"No"))</f>
        <v/>
      </c>
      <c r="J113" s="24">
        <f>IF(A113="","",IF(COUNTIF('Jobs'!$B$2:$B$501,A113)=0,"",SUMPRODUCT(MAX(('Jobs'!$B$2:$B$501=A113)*'Jobs'!$A$2:$A$501))))</f>
        <v/>
      </c>
    </row>
    <row r="114">
      <c r="G114" s="23">
        <f>IF(A114="","",COUNTIF('Jobs'!$B$2:$B$501,A114))</f>
        <v/>
      </c>
      <c r="H114" s="20">
        <f>IF(A114="","",SUMIF('Jobs'!$B$2:$B$501,A114,'Jobs'!$H$2:$H$501))</f>
        <v/>
      </c>
      <c r="I114" s="20">
        <f>IF(A114="","",SUMIFS('Jobs'!$H$2:$H$501,'Jobs'!$B$2:$B$501,A114,'Jobs'!$I$2:$I$501,"No"))</f>
        <v/>
      </c>
      <c r="J114" s="24">
        <f>IF(A114="","",IF(COUNTIF('Jobs'!$B$2:$B$501,A114)=0,"",SUMPRODUCT(MAX(('Jobs'!$B$2:$B$501=A114)*'Jobs'!$A$2:$A$501))))</f>
        <v/>
      </c>
    </row>
    <row r="115">
      <c r="G115" s="23">
        <f>IF(A115="","",COUNTIF('Jobs'!$B$2:$B$501,A115))</f>
        <v/>
      </c>
      <c r="H115" s="20">
        <f>IF(A115="","",SUMIF('Jobs'!$B$2:$B$501,A115,'Jobs'!$H$2:$H$501))</f>
        <v/>
      </c>
      <c r="I115" s="20">
        <f>IF(A115="","",SUMIFS('Jobs'!$H$2:$H$501,'Jobs'!$B$2:$B$501,A115,'Jobs'!$I$2:$I$501,"No"))</f>
        <v/>
      </c>
      <c r="J115" s="24">
        <f>IF(A115="","",IF(COUNTIF('Jobs'!$B$2:$B$501,A115)=0,"",SUMPRODUCT(MAX(('Jobs'!$B$2:$B$501=A115)*'Jobs'!$A$2:$A$501))))</f>
        <v/>
      </c>
    </row>
    <row r="116">
      <c r="G116" s="23">
        <f>IF(A116="","",COUNTIF('Jobs'!$B$2:$B$501,A116))</f>
        <v/>
      </c>
      <c r="H116" s="20">
        <f>IF(A116="","",SUMIF('Jobs'!$B$2:$B$501,A116,'Jobs'!$H$2:$H$501))</f>
        <v/>
      </c>
      <c r="I116" s="20">
        <f>IF(A116="","",SUMIFS('Jobs'!$H$2:$H$501,'Jobs'!$B$2:$B$501,A116,'Jobs'!$I$2:$I$501,"No"))</f>
        <v/>
      </c>
      <c r="J116" s="24">
        <f>IF(A116="","",IF(COUNTIF('Jobs'!$B$2:$B$501,A116)=0,"",SUMPRODUCT(MAX(('Jobs'!$B$2:$B$501=A116)*'Jobs'!$A$2:$A$501))))</f>
        <v/>
      </c>
    </row>
    <row r="117">
      <c r="G117" s="23">
        <f>IF(A117="","",COUNTIF('Jobs'!$B$2:$B$501,A117))</f>
        <v/>
      </c>
      <c r="H117" s="20">
        <f>IF(A117="","",SUMIF('Jobs'!$B$2:$B$501,A117,'Jobs'!$H$2:$H$501))</f>
        <v/>
      </c>
      <c r="I117" s="20">
        <f>IF(A117="","",SUMIFS('Jobs'!$H$2:$H$501,'Jobs'!$B$2:$B$501,A117,'Jobs'!$I$2:$I$501,"No"))</f>
        <v/>
      </c>
      <c r="J117" s="24">
        <f>IF(A117="","",IF(COUNTIF('Jobs'!$B$2:$B$501,A117)=0,"",SUMPRODUCT(MAX(('Jobs'!$B$2:$B$501=A117)*'Jobs'!$A$2:$A$501))))</f>
        <v/>
      </c>
    </row>
    <row r="118">
      <c r="G118" s="23">
        <f>IF(A118="","",COUNTIF('Jobs'!$B$2:$B$501,A118))</f>
        <v/>
      </c>
      <c r="H118" s="20">
        <f>IF(A118="","",SUMIF('Jobs'!$B$2:$B$501,A118,'Jobs'!$H$2:$H$501))</f>
        <v/>
      </c>
      <c r="I118" s="20">
        <f>IF(A118="","",SUMIFS('Jobs'!$H$2:$H$501,'Jobs'!$B$2:$B$501,A118,'Jobs'!$I$2:$I$501,"No"))</f>
        <v/>
      </c>
      <c r="J118" s="24">
        <f>IF(A118="","",IF(COUNTIF('Jobs'!$B$2:$B$501,A118)=0,"",SUMPRODUCT(MAX(('Jobs'!$B$2:$B$501=A118)*'Jobs'!$A$2:$A$501))))</f>
        <v/>
      </c>
    </row>
    <row r="119">
      <c r="G119" s="23">
        <f>IF(A119="","",COUNTIF('Jobs'!$B$2:$B$501,A119))</f>
        <v/>
      </c>
      <c r="H119" s="20">
        <f>IF(A119="","",SUMIF('Jobs'!$B$2:$B$501,A119,'Jobs'!$H$2:$H$501))</f>
        <v/>
      </c>
      <c r="I119" s="20">
        <f>IF(A119="","",SUMIFS('Jobs'!$H$2:$H$501,'Jobs'!$B$2:$B$501,A119,'Jobs'!$I$2:$I$501,"No"))</f>
        <v/>
      </c>
      <c r="J119" s="24">
        <f>IF(A119="","",IF(COUNTIF('Jobs'!$B$2:$B$501,A119)=0,"",SUMPRODUCT(MAX(('Jobs'!$B$2:$B$501=A119)*'Jobs'!$A$2:$A$501))))</f>
        <v/>
      </c>
    </row>
    <row r="120">
      <c r="G120" s="23">
        <f>IF(A120="","",COUNTIF('Jobs'!$B$2:$B$501,A120))</f>
        <v/>
      </c>
      <c r="H120" s="20">
        <f>IF(A120="","",SUMIF('Jobs'!$B$2:$B$501,A120,'Jobs'!$H$2:$H$501))</f>
        <v/>
      </c>
      <c r="I120" s="20">
        <f>IF(A120="","",SUMIFS('Jobs'!$H$2:$H$501,'Jobs'!$B$2:$B$501,A120,'Jobs'!$I$2:$I$501,"No"))</f>
        <v/>
      </c>
      <c r="J120" s="24">
        <f>IF(A120="","",IF(COUNTIF('Jobs'!$B$2:$B$501,A120)=0,"",SUMPRODUCT(MAX(('Jobs'!$B$2:$B$501=A120)*'Jobs'!$A$2:$A$501))))</f>
        <v/>
      </c>
    </row>
    <row r="121">
      <c r="G121" s="23">
        <f>IF(A121="","",COUNTIF('Jobs'!$B$2:$B$501,A121))</f>
        <v/>
      </c>
      <c r="H121" s="20">
        <f>IF(A121="","",SUMIF('Jobs'!$B$2:$B$501,A121,'Jobs'!$H$2:$H$501))</f>
        <v/>
      </c>
      <c r="I121" s="20">
        <f>IF(A121="","",SUMIFS('Jobs'!$H$2:$H$501,'Jobs'!$B$2:$B$501,A121,'Jobs'!$I$2:$I$501,"No"))</f>
        <v/>
      </c>
      <c r="J121" s="24">
        <f>IF(A121="","",IF(COUNTIF('Jobs'!$B$2:$B$501,A121)=0,"",SUMPRODUCT(MAX(('Jobs'!$B$2:$B$501=A121)*'Jobs'!$A$2:$A$501))))</f>
        <v/>
      </c>
    </row>
    <row r="122">
      <c r="G122" s="23">
        <f>IF(A122="","",COUNTIF('Jobs'!$B$2:$B$501,A122))</f>
        <v/>
      </c>
      <c r="H122" s="20">
        <f>IF(A122="","",SUMIF('Jobs'!$B$2:$B$501,A122,'Jobs'!$H$2:$H$501))</f>
        <v/>
      </c>
      <c r="I122" s="20">
        <f>IF(A122="","",SUMIFS('Jobs'!$H$2:$H$501,'Jobs'!$B$2:$B$501,A122,'Jobs'!$I$2:$I$501,"No"))</f>
        <v/>
      </c>
      <c r="J122" s="24">
        <f>IF(A122="","",IF(COUNTIF('Jobs'!$B$2:$B$501,A122)=0,"",SUMPRODUCT(MAX(('Jobs'!$B$2:$B$501=A122)*'Jobs'!$A$2:$A$501))))</f>
        <v/>
      </c>
    </row>
    <row r="123">
      <c r="G123" s="23">
        <f>IF(A123="","",COUNTIF('Jobs'!$B$2:$B$501,A123))</f>
        <v/>
      </c>
      <c r="H123" s="20">
        <f>IF(A123="","",SUMIF('Jobs'!$B$2:$B$501,A123,'Jobs'!$H$2:$H$501))</f>
        <v/>
      </c>
      <c r="I123" s="20">
        <f>IF(A123="","",SUMIFS('Jobs'!$H$2:$H$501,'Jobs'!$B$2:$B$501,A123,'Jobs'!$I$2:$I$501,"No"))</f>
        <v/>
      </c>
      <c r="J123" s="24">
        <f>IF(A123="","",IF(COUNTIF('Jobs'!$B$2:$B$501,A123)=0,"",SUMPRODUCT(MAX(('Jobs'!$B$2:$B$501=A123)*'Jobs'!$A$2:$A$501))))</f>
        <v/>
      </c>
    </row>
    <row r="124">
      <c r="G124" s="23">
        <f>IF(A124="","",COUNTIF('Jobs'!$B$2:$B$501,A124))</f>
        <v/>
      </c>
      <c r="H124" s="20">
        <f>IF(A124="","",SUMIF('Jobs'!$B$2:$B$501,A124,'Jobs'!$H$2:$H$501))</f>
        <v/>
      </c>
      <c r="I124" s="20">
        <f>IF(A124="","",SUMIFS('Jobs'!$H$2:$H$501,'Jobs'!$B$2:$B$501,A124,'Jobs'!$I$2:$I$501,"No"))</f>
        <v/>
      </c>
      <c r="J124" s="24">
        <f>IF(A124="","",IF(COUNTIF('Jobs'!$B$2:$B$501,A124)=0,"",SUMPRODUCT(MAX(('Jobs'!$B$2:$B$501=A124)*'Jobs'!$A$2:$A$501))))</f>
        <v/>
      </c>
    </row>
    <row r="125">
      <c r="G125" s="23">
        <f>IF(A125="","",COUNTIF('Jobs'!$B$2:$B$501,A125))</f>
        <v/>
      </c>
      <c r="H125" s="20">
        <f>IF(A125="","",SUMIF('Jobs'!$B$2:$B$501,A125,'Jobs'!$H$2:$H$501))</f>
        <v/>
      </c>
      <c r="I125" s="20">
        <f>IF(A125="","",SUMIFS('Jobs'!$H$2:$H$501,'Jobs'!$B$2:$B$501,A125,'Jobs'!$I$2:$I$501,"No"))</f>
        <v/>
      </c>
      <c r="J125" s="24">
        <f>IF(A125="","",IF(COUNTIF('Jobs'!$B$2:$B$501,A125)=0,"",SUMPRODUCT(MAX(('Jobs'!$B$2:$B$501=A125)*'Jobs'!$A$2:$A$501))))</f>
        <v/>
      </c>
    </row>
    <row r="126">
      <c r="G126" s="23">
        <f>IF(A126="","",COUNTIF('Jobs'!$B$2:$B$501,A126))</f>
        <v/>
      </c>
      <c r="H126" s="20">
        <f>IF(A126="","",SUMIF('Jobs'!$B$2:$B$501,A126,'Jobs'!$H$2:$H$501))</f>
        <v/>
      </c>
      <c r="I126" s="20">
        <f>IF(A126="","",SUMIFS('Jobs'!$H$2:$H$501,'Jobs'!$B$2:$B$501,A126,'Jobs'!$I$2:$I$501,"No"))</f>
        <v/>
      </c>
      <c r="J126" s="24">
        <f>IF(A126="","",IF(COUNTIF('Jobs'!$B$2:$B$501,A126)=0,"",SUMPRODUCT(MAX(('Jobs'!$B$2:$B$501=A126)*'Jobs'!$A$2:$A$501))))</f>
        <v/>
      </c>
    </row>
    <row r="127">
      <c r="G127" s="23">
        <f>IF(A127="","",COUNTIF('Jobs'!$B$2:$B$501,A127))</f>
        <v/>
      </c>
      <c r="H127" s="20">
        <f>IF(A127="","",SUMIF('Jobs'!$B$2:$B$501,A127,'Jobs'!$H$2:$H$501))</f>
        <v/>
      </c>
      <c r="I127" s="20">
        <f>IF(A127="","",SUMIFS('Jobs'!$H$2:$H$501,'Jobs'!$B$2:$B$501,A127,'Jobs'!$I$2:$I$501,"No"))</f>
        <v/>
      </c>
      <c r="J127" s="24">
        <f>IF(A127="","",IF(COUNTIF('Jobs'!$B$2:$B$501,A127)=0,"",SUMPRODUCT(MAX(('Jobs'!$B$2:$B$501=A127)*'Jobs'!$A$2:$A$501))))</f>
        <v/>
      </c>
    </row>
    <row r="128">
      <c r="G128" s="23">
        <f>IF(A128="","",COUNTIF('Jobs'!$B$2:$B$501,A128))</f>
        <v/>
      </c>
      <c r="H128" s="20">
        <f>IF(A128="","",SUMIF('Jobs'!$B$2:$B$501,A128,'Jobs'!$H$2:$H$501))</f>
        <v/>
      </c>
      <c r="I128" s="20">
        <f>IF(A128="","",SUMIFS('Jobs'!$H$2:$H$501,'Jobs'!$B$2:$B$501,A128,'Jobs'!$I$2:$I$501,"No"))</f>
        <v/>
      </c>
      <c r="J128" s="24">
        <f>IF(A128="","",IF(COUNTIF('Jobs'!$B$2:$B$501,A128)=0,"",SUMPRODUCT(MAX(('Jobs'!$B$2:$B$501=A128)*'Jobs'!$A$2:$A$501))))</f>
        <v/>
      </c>
    </row>
    <row r="129">
      <c r="G129" s="23">
        <f>IF(A129="","",COUNTIF('Jobs'!$B$2:$B$501,A129))</f>
        <v/>
      </c>
      <c r="H129" s="20">
        <f>IF(A129="","",SUMIF('Jobs'!$B$2:$B$501,A129,'Jobs'!$H$2:$H$501))</f>
        <v/>
      </c>
      <c r="I129" s="20">
        <f>IF(A129="","",SUMIFS('Jobs'!$H$2:$H$501,'Jobs'!$B$2:$B$501,A129,'Jobs'!$I$2:$I$501,"No"))</f>
        <v/>
      </c>
      <c r="J129" s="24">
        <f>IF(A129="","",IF(COUNTIF('Jobs'!$B$2:$B$501,A129)=0,"",SUMPRODUCT(MAX(('Jobs'!$B$2:$B$501=A129)*'Jobs'!$A$2:$A$501))))</f>
        <v/>
      </c>
    </row>
    <row r="130">
      <c r="G130" s="23">
        <f>IF(A130="","",COUNTIF('Jobs'!$B$2:$B$501,A130))</f>
        <v/>
      </c>
      <c r="H130" s="20">
        <f>IF(A130="","",SUMIF('Jobs'!$B$2:$B$501,A130,'Jobs'!$H$2:$H$501))</f>
        <v/>
      </c>
      <c r="I130" s="20">
        <f>IF(A130="","",SUMIFS('Jobs'!$H$2:$H$501,'Jobs'!$B$2:$B$501,A130,'Jobs'!$I$2:$I$501,"No"))</f>
        <v/>
      </c>
      <c r="J130" s="24">
        <f>IF(A130="","",IF(COUNTIF('Jobs'!$B$2:$B$501,A130)=0,"",SUMPRODUCT(MAX(('Jobs'!$B$2:$B$501=A130)*'Jobs'!$A$2:$A$501))))</f>
        <v/>
      </c>
    </row>
    <row r="131">
      <c r="G131" s="23">
        <f>IF(A131="","",COUNTIF('Jobs'!$B$2:$B$501,A131))</f>
        <v/>
      </c>
      <c r="H131" s="20">
        <f>IF(A131="","",SUMIF('Jobs'!$B$2:$B$501,A131,'Jobs'!$H$2:$H$501))</f>
        <v/>
      </c>
      <c r="I131" s="20">
        <f>IF(A131="","",SUMIFS('Jobs'!$H$2:$H$501,'Jobs'!$B$2:$B$501,A131,'Jobs'!$I$2:$I$501,"No"))</f>
        <v/>
      </c>
      <c r="J131" s="24">
        <f>IF(A131="","",IF(COUNTIF('Jobs'!$B$2:$B$501,A131)=0,"",SUMPRODUCT(MAX(('Jobs'!$B$2:$B$501=A131)*'Jobs'!$A$2:$A$501))))</f>
        <v/>
      </c>
    </row>
    <row r="132">
      <c r="G132" s="23">
        <f>IF(A132="","",COUNTIF('Jobs'!$B$2:$B$501,A132))</f>
        <v/>
      </c>
      <c r="H132" s="20">
        <f>IF(A132="","",SUMIF('Jobs'!$B$2:$B$501,A132,'Jobs'!$H$2:$H$501))</f>
        <v/>
      </c>
      <c r="I132" s="20">
        <f>IF(A132="","",SUMIFS('Jobs'!$H$2:$H$501,'Jobs'!$B$2:$B$501,A132,'Jobs'!$I$2:$I$501,"No"))</f>
        <v/>
      </c>
      <c r="J132" s="24">
        <f>IF(A132="","",IF(COUNTIF('Jobs'!$B$2:$B$501,A132)=0,"",SUMPRODUCT(MAX(('Jobs'!$B$2:$B$501=A132)*'Jobs'!$A$2:$A$501))))</f>
        <v/>
      </c>
    </row>
    <row r="133">
      <c r="G133" s="23">
        <f>IF(A133="","",COUNTIF('Jobs'!$B$2:$B$501,A133))</f>
        <v/>
      </c>
      <c r="H133" s="20">
        <f>IF(A133="","",SUMIF('Jobs'!$B$2:$B$501,A133,'Jobs'!$H$2:$H$501))</f>
        <v/>
      </c>
      <c r="I133" s="20">
        <f>IF(A133="","",SUMIFS('Jobs'!$H$2:$H$501,'Jobs'!$B$2:$B$501,A133,'Jobs'!$I$2:$I$501,"No"))</f>
        <v/>
      </c>
      <c r="J133" s="24">
        <f>IF(A133="","",IF(COUNTIF('Jobs'!$B$2:$B$501,A133)=0,"",SUMPRODUCT(MAX(('Jobs'!$B$2:$B$501=A133)*'Jobs'!$A$2:$A$501))))</f>
        <v/>
      </c>
    </row>
    <row r="134">
      <c r="G134" s="23">
        <f>IF(A134="","",COUNTIF('Jobs'!$B$2:$B$501,A134))</f>
        <v/>
      </c>
      <c r="H134" s="20">
        <f>IF(A134="","",SUMIF('Jobs'!$B$2:$B$501,A134,'Jobs'!$H$2:$H$501))</f>
        <v/>
      </c>
      <c r="I134" s="20">
        <f>IF(A134="","",SUMIFS('Jobs'!$H$2:$H$501,'Jobs'!$B$2:$B$501,A134,'Jobs'!$I$2:$I$501,"No"))</f>
        <v/>
      </c>
      <c r="J134" s="24">
        <f>IF(A134="","",IF(COUNTIF('Jobs'!$B$2:$B$501,A134)=0,"",SUMPRODUCT(MAX(('Jobs'!$B$2:$B$501=A134)*'Jobs'!$A$2:$A$501))))</f>
        <v/>
      </c>
    </row>
    <row r="135">
      <c r="G135" s="23">
        <f>IF(A135="","",COUNTIF('Jobs'!$B$2:$B$501,A135))</f>
        <v/>
      </c>
      <c r="H135" s="20">
        <f>IF(A135="","",SUMIF('Jobs'!$B$2:$B$501,A135,'Jobs'!$H$2:$H$501))</f>
        <v/>
      </c>
      <c r="I135" s="20">
        <f>IF(A135="","",SUMIFS('Jobs'!$H$2:$H$501,'Jobs'!$B$2:$B$501,A135,'Jobs'!$I$2:$I$501,"No"))</f>
        <v/>
      </c>
      <c r="J135" s="24">
        <f>IF(A135="","",IF(COUNTIF('Jobs'!$B$2:$B$501,A135)=0,"",SUMPRODUCT(MAX(('Jobs'!$B$2:$B$501=A135)*'Jobs'!$A$2:$A$501))))</f>
        <v/>
      </c>
    </row>
    <row r="136">
      <c r="G136" s="23">
        <f>IF(A136="","",COUNTIF('Jobs'!$B$2:$B$501,A136))</f>
        <v/>
      </c>
      <c r="H136" s="20">
        <f>IF(A136="","",SUMIF('Jobs'!$B$2:$B$501,A136,'Jobs'!$H$2:$H$501))</f>
        <v/>
      </c>
      <c r="I136" s="20">
        <f>IF(A136="","",SUMIFS('Jobs'!$H$2:$H$501,'Jobs'!$B$2:$B$501,A136,'Jobs'!$I$2:$I$501,"No"))</f>
        <v/>
      </c>
      <c r="J136" s="24">
        <f>IF(A136="","",IF(COUNTIF('Jobs'!$B$2:$B$501,A136)=0,"",SUMPRODUCT(MAX(('Jobs'!$B$2:$B$501=A136)*'Jobs'!$A$2:$A$501))))</f>
        <v/>
      </c>
    </row>
    <row r="137">
      <c r="G137" s="23">
        <f>IF(A137="","",COUNTIF('Jobs'!$B$2:$B$501,A137))</f>
        <v/>
      </c>
      <c r="H137" s="20">
        <f>IF(A137="","",SUMIF('Jobs'!$B$2:$B$501,A137,'Jobs'!$H$2:$H$501))</f>
        <v/>
      </c>
      <c r="I137" s="20">
        <f>IF(A137="","",SUMIFS('Jobs'!$H$2:$H$501,'Jobs'!$B$2:$B$501,A137,'Jobs'!$I$2:$I$501,"No"))</f>
        <v/>
      </c>
      <c r="J137" s="24">
        <f>IF(A137="","",IF(COUNTIF('Jobs'!$B$2:$B$501,A137)=0,"",SUMPRODUCT(MAX(('Jobs'!$B$2:$B$501=A137)*'Jobs'!$A$2:$A$501))))</f>
        <v/>
      </c>
    </row>
    <row r="138">
      <c r="G138" s="23">
        <f>IF(A138="","",COUNTIF('Jobs'!$B$2:$B$501,A138))</f>
        <v/>
      </c>
      <c r="H138" s="20">
        <f>IF(A138="","",SUMIF('Jobs'!$B$2:$B$501,A138,'Jobs'!$H$2:$H$501))</f>
        <v/>
      </c>
      <c r="I138" s="20">
        <f>IF(A138="","",SUMIFS('Jobs'!$H$2:$H$501,'Jobs'!$B$2:$B$501,A138,'Jobs'!$I$2:$I$501,"No"))</f>
        <v/>
      </c>
      <c r="J138" s="24">
        <f>IF(A138="","",IF(COUNTIF('Jobs'!$B$2:$B$501,A138)=0,"",SUMPRODUCT(MAX(('Jobs'!$B$2:$B$501=A138)*'Jobs'!$A$2:$A$501))))</f>
        <v/>
      </c>
    </row>
    <row r="139">
      <c r="G139" s="23">
        <f>IF(A139="","",COUNTIF('Jobs'!$B$2:$B$501,A139))</f>
        <v/>
      </c>
      <c r="H139" s="20">
        <f>IF(A139="","",SUMIF('Jobs'!$B$2:$B$501,A139,'Jobs'!$H$2:$H$501))</f>
        <v/>
      </c>
      <c r="I139" s="20">
        <f>IF(A139="","",SUMIFS('Jobs'!$H$2:$H$501,'Jobs'!$B$2:$B$501,A139,'Jobs'!$I$2:$I$501,"No"))</f>
        <v/>
      </c>
      <c r="J139" s="24">
        <f>IF(A139="","",IF(COUNTIF('Jobs'!$B$2:$B$501,A139)=0,"",SUMPRODUCT(MAX(('Jobs'!$B$2:$B$501=A139)*'Jobs'!$A$2:$A$501))))</f>
        <v/>
      </c>
    </row>
    <row r="140">
      <c r="G140" s="23">
        <f>IF(A140="","",COUNTIF('Jobs'!$B$2:$B$501,A140))</f>
        <v/>
      </c>
      <c r="H140" s="20">
        <f>IF(A140="","",SUMIF('Jobs'!$B$2:$B$501,A140,'Jobs'!$H$2:$H$501))</f>
        <v/>
      </c>
      <c r="I140" s="20">
        <f>IF(A140="","",SUMIFS('Jobs'!$H$2:$H$501,'Jobs'!$B$2:$B$501,A140,'Jobs'!$I$2:$I$501,"No"))</f>
        <v/>
      </c>
      <c r="J140" s="24">
        <f>IF(A140="","",IF(COUNTIF('Jobs'!$B$2:$B$501,A140)=0,"",SUMPRODUCT(MAX(('Jobs'!$B$2:$B$501=A140)*'Jobs'!$A$2:$A$501))))</f>
        <v/>
      </c>
    </row>
    <row r="141">
      <c r="G141" s="23">
        <f>IF(A141="","",COUNTIF('Jobs'!$B$2:$B$501,A141))</f>
        <v/>
      </c>
      <c r="H141" s="20">
        <f>IF(A141="","",SUMIF('Jobs'!$B$2:$B$501,A141,'Jobs'!$H$2:$H$501))</f>
        <v/>
      </c>
      <c r="I141" s="20">
        <f>IF(A141="","",SUMIFS('Jobs'!$H$2:$H$501,'Jobs'!$B$2:$B$501,A141,'Jobs'!$I$2:$I$501,"No"))</f>
        <v/>
      </c>
      <c r="J141" s="24">
        <f>IF(A141="","",IF(COUNTIF('Jobs'!$B$2:$B$501,A141)=0,"",SUMPRODUCT(MAX(('Jobs'!$B$2:$B$501=A141)*'Jobs'!$A$2:$A$501))))</f>
        <v/>
      </c>
    </row>
    <row r="142">
      <c r="G142" s="23">
        <f>IF(A142="","",COUNTIF('Jobs'!$B$2:$B$501,A142))</f>
        <v/>
      </c>
      <c r="H142" s="20">
        <f>IF(A142="","",SUMIF('Jobs'!$B$2:$B$501,A142,'Jobs'!$H$2:$H$501))</f>
        <v/>
      </c>
      <c r="I142" s="20">
        <f>IF(A142="","",SUMIFS('Jobs'!$H$2:$H$501,'Jobs'!$B$2:$B$501,A142,'Jobs'!$I$2:$I$501,"No"))</f>
        <v/>
      </c>
      <c r="J142" s="24">
        <f>IF(A142="","",IF(COUNTIF('Jobs'!$B$2:$B$501,A142)=0,"",SUMPRODUCT(MAX(('Jobs'!$B$2:$B$501=A142)*'Jobs'!$A$2:$A$501))))</f>
        <v/>
      </c>
    </row>
    <row r="143">
      <c r="G143" s="23">
        <f>IF(A143="","",COUNTIF('Jobs'!$B$2:$B$501,A143))</f>
        <v/>
      </c>
      <c r="H143" s="20">
        <f>IF(A143="","",SUMIF('Jobs'!$B$2:$B$501,A143,'Jobs'!$H$2:$H$501))</f>
        <v/>
      </c>
      <c r="I143" s="20">
        <f>IF(A143="","",SUMIFS('Jobs'!$H$2:$H$501,'Jobs'!$B$2:$B$501,A143,'Jobs'!$I$2:$I$501,"No"))</f>
        <v/>
      </c>
      <c r="J143" s="24">
        <f>IF(A143="","",IF(COUNTIF('Jobs'!$B$2:$B$501,A143)=0,"",SUMPRODUCT(MAX(('Jobs'!$B$2:$B$501=A143)*'Jobs'!$A$2:$A$501))))</f>
        <v/>
      </c>
    </row>
    <row r="144">
      <c r="G144" s="23">
        <f>IF(A144="","",COUNTIF('Jobs'!$B$2:$B$501,A144))</f>
        <v/>
      </c>
      <c r="H144" s="20">
        <f>IF(A144="","",SUMIF('Jobs'!$B$2:$B$501,A144,'Jobs'!$H$2:$H$501))</f>
        <v/>
      </c>
      <c r="I144" s="20">
        <f>IF(A144="","",SUMIFS('Jobs'!$H$2:$H$501,'Jobs'!$B$2:$B$501,A144,'Jobs'!$I$2:$I$501,"No"))</f>
        <v/>
      </c>
      <c r="J144" s="24">
        <f>IF(A144="","",IF(COUNTIF('Jobs'!$B$2:$B$501,A144)=0,"",SUMPRODUCT(MAX(('Jobs'!$B$2:$B$501=A144)*'Jobs'!$A$2:$A$501))))</f>
        <v/>
      </c>
    </row>
    <row r="145">
      <c r="G145" s="23">
        <f>IF(A145="","",COUNTIF('Jobs'!$B$2:$B$501,A145))</f>
        <v/>
      </c>
      <c r="H145" s="20">
        <f>IF(A145="","",SUMIF('Jobs'!$B$2:$B$501,A145,'Jobs'!$H$2:$H$501))</f>
        <v/>
      </c>
      <c r="I145" s="20">
        <f>IF(A145="","",SUMIFS('Jobs'!$H$2:$H$501,'Jobs'!$B$2:$B$501,A145,'Jobs'!$I$2:$I$501,"No"))</f>
        <v/>
      </c>
      <c r="J145" s="24">
        <f>IF(A145="","",IF(COUNTIF('Jobs'!$B$2:$B$501,A145)=0,"",SUMPRODUCT(MAX(('Jobs'!$B$2:$B$501=A145)*'Jobs'!$A$2:$A$501))))</f>
        <v/>
      </c>
    </row>
    <row r="146">
      <c r="G146" s="23">
        <f>IF(A146="","",COUNTIF('Jobs'!$B$2:$B$501,A146))</f>
        <v/>
      </c>
      <c r="H146" s="20">
        <f>IF(A146="","",SUMIF('Jobs'!$B$2:$B$501,A146,'Jobs'!$H$2:$H$501))</f>
        <v/>
      </c>
      <c r="I146" s="20">
        <f>IF(A146="","",SUMIFS('Jobs'!$H$2:$H$501,'Jobs'!$B$2:$B$501,A146,'Jobs'!$I$2:$I$501,"No"))</f>
        <v/>
      </c>
      <c r="J146" s="24">
        <f>IF(A146="","",IF(COUNTIF('Jobs'!$B$2:$B$501,A146)=0,"",SUMPRODUCT(MAX(('Jobs'!$B$2:$B$501=A146)*'Jobs'!$A$2:$A$501))))</f>
        <v/>
      </c>
    </row>
    <row r="147">
      <c r="G147" s="23">
        <f>IF(A147="","",COUNTIF('Jobs'!$B$2:$B$501,A147))</f>
        <v/>
      </c>
      <c r="H147" s="20">
        <f>IF(A147="","",SUMIF('Jobs'!$B$2:$B$501,A147,'Jobs'!$H$2:$H$501))</f>
        <v/>
      </c>
      <c r="I147" s="20">
        <f>IF(A147="","",SUMIFS('Jobs'!$H$2:$H$501,'Jobs'!$B$2:$B$501,A147,'Jobs'!$I$2:$I$501,"No"))</f>
        <v/>
      </c>
      <c r="J147" s="24">
        <f>IF(A147="","",IF(COUNTIF('Jobs'!$B$2:$B$501,A147)=0,"",SUMPRODUCT(MAX(('Jobs'!$B$2:$B$501=A147)*'Jobs'!$A$2:$A$501))))</f>
        <v/>
      </c>
    </row>
    <row r="148">
      <c r="G148" s="23">
        <f>IF(A148="","",COUNTIF('Jobs'!$B$2:$B$501,A148))</f>
        <v/>
      </c>
      <c r="H148" s="20">
        <f>IF(A148="","",SUMIF('Jobs'!$B$2:$B$501,A148,'Jobs'!$H$2:$H$501))</f>
        <v/>
      </c>
      <c r="I148" s="20">
        <f>IF(A148="","",SUMIFS('Jobs'!$H$2:$H$501,'Jobs'!$B$2:$B$501,A148,'Jobs'!$I$2:$I$501,"No"))</f>
        <v/>
      </c>
      <c r="J148" s="24">
        <f>IF(A148="","",IF(COUNTIF('Jobs'!$B$2:$B$501,A148)=0,"",SUMPRODUCT(MAX(('Jobs'!$B$2:$B$501=A148)*'Jobs'!$A$2:$A$501))))</f>
        <v/>
      </c>
    </row>
    <row r="149">
      <c r="G149" s="23">
        <f>IF(A149="","",COUNTIF('Jobs'!$B$2:$B$501,A149))</f>
        <v/>
      </c>
      <c r="H149" s="20">
        <f>IF(A149="","",SUMIF('Jobs'!$B$2:$B$501,A149,'Jobs'!$H$2:$H$501))</f>
        <v/>
      </c>
      <c r="I149" s="20">
        <f>IF(A149="","",SUMIFS('Jobs'!$H$2:$H$501,'Jobs'!$B$2:$B$501,A149,'Jobs'!$I$2:$I$501,"No"))</f>
        <v/>
      </c>
      <c r="J149" s="24">
        <f>IF(A149="","",IF(COUNTIF('Jobs'!$B$2:$B$501,A149)=0,"",SUMPRODUCT(MAX(('Jobs'!$B$2:$B$501=A149)*'Jobs'!$A$2:$A$501))))</f>
        <v/>
      </c>
    </row>
    <row r="150">
      <c r="G150" s="23">
        <f>IF(A150="","",COUNTIF('Jobs'!$B$2:$B$501,A150))</f>
        <v/>
      </c>
      <c r="H150" s="20">
        <f>IF(A150="","",SUMIF('Jobs'!$B$2:$B$501,A150,'Jobs'!$H$2:$H$501))</f>
        <v/>
      </c>
      <c r="I150" s="20">
        <f>IF(A150="","",SUMIFS('Jobs'!$H$2:$H$501,'Jobs'!$B$2:$B$501,A150,'Jobs'!$I$2:$I$501,"No"))</f>
        <v/>
      </c>
      <c r="J150" s="24">
        <f>IF(A150="","",IF(COUNTIF('Jobs'!$B$2:$B$501,A150)=0,"",SUMPRODUCT(MAX(('Jobs'!$B$2:$B$501=A150)*'Jobs'!$A$2:$A$501))))</f>
        <v/>
      </c>
    </row>
    <row r="151">
      <c r="G151" s="23">
        <f>IF(A151="","",COUNTIF('Jobs'!$B$2:$B$501,A151))</f>
        <v/>
      </c>
      <c r="H151" s="20">
        <f>IF(A151="","",SUMIF('Jobs'!$B$2:$B$501,A151,'Jobs'!$H$2:$H$501))</f>
        <v/>
      </c>
      <c r="I151" s="20">
        <f>IF(A151="","",SUMIFS('Jobs'!$H$2:$H$501,'Jobs'!$B$2:$B$501,A151,'Jobs'!$I$2:$I$501,"No"))</f>
        <v/>
      </c>
      <c r="J151" s="24">
        <f>IF(A151="","",IF(COUNTIF('Jobs'!$B$2:$B$501,A151)=0,"",SUMPRODUCT(MAX(('Jobs'!$B$2:$B$501=A151)*'Jobs'!$A$2:$A$501))))</f>
        <v/>
      </c>
    </row>
    <row r="152">
      <c r="G152" s="23">
        <f>IF(A152="","",COUNTIF('Jobs'!$B$2:$B$501,A152))</f>
        <v/>
      </c>
      <c r="H152" s="20">
        <f>IF(A152="","",SUMIF('Jobs'!$B$2:$B$501,A152,'Jobs'!$H$2:$H$501))</f>
        <v/>
      </c>
      <c r="I152" s="20">
        <f>IF(A152="","",SUMIFS('Jobs'!$H$2:$H$501,'Jobs'!$B$2:$B$501,A152,'Jobs'!$I$2:$I$501,"No"))</f>
        <v/>
      </c>
      <c r="J152" s="24">
        <f>IF(A152="","",IF(COUNTIF('Jobs'!$B$2:$B$501,A152)=0,"",SUMPRODUCT(MAX(('Jobs'!$B$2:$B$501=A152)*'Jobs'!$A$2:$A$501))))</f>
        <v/>
      </c>
    </row>
    <row r="153">
      <c r="G153" s="23">
        <f>IF(A153="","",COUNTIF('Jobs'!$B$2:$B$501,A153))</f>
        <v/>
      </c>
      <c r="H153" s="20">
        <f>IF(A153="","",SUMIF('Jobs'!$B$2:$B$501,A153,'Jobs'!$H$2:$H$501))</f>
        <v/>
      </c>
      <c r="I153" s="20">
        <f>IF(A153="","",SUMIFS('Jobs'!$H$2:$H$501,'Jobs'!$B$2:$B$501,A153,'Jobs'!$I$2:$I$501,"No"))</f>
        <v/>
      </c>
      <c r="J153" s="24">
        <f>IF(A153="","",IF(COUNTIF('Jobs'!$B$2:$B$501,A153)=0,"",SUMPRODUCT(MAX(('Jobs'!$B$2:$B$501=A153)*'Jobs'!$A$2:$A$501))))</f>
        <v/>
      </c>
    </row>
    <row r="154">
      <c r="G154" s="23">
        <f>IF(A154="","",COUNTIF('Jobs'!$B$2:$B$501,A154))</f>
        <v/>
      </c>
      <c r="H154" s="20">
        <f>IF(A154="","",SUMIF('Jobs'!$B$2:$B$501,A154,'Jobs'!$H$2:$H$501))</f>
        <v/>
      </c>
      <c r="I154" s="20">
        <f>IF(A154="","",SUMIFS('Jobs'!$H$2:$H$501,'Jobs'!$B$2:$B$501,A154,'Jobs'!$I$2:$I$501,"No"))</f>
        <v/>
      </c>
      <c r="J154" s="24">
        <f>IF(A154="","",IF(COUNTIF('Jobs'!$B$2:$B$501,A154)=0,"",SUMPRODUCT(MAX(('Jobs'!$B$2:$B$501=A154)*'Jobs'!$A$2:$A$501))))</f>
        <v/>
      </c>
    </row>
    <row r="155">
      <c r="G155" s="23">
        <f>IF(A155="","",COUNTIF('Jobs'!$B$2:$B$501,A155))</f>
        <v/>
      </c>
      <c r="H155" s="20">
        <f>IF(A155="","",SUMIF('Jobs'!$B$2:$B$501,A155,'Jobs'!$H$2:$H$501))</f>
        <v/>
      </c>
      <c r="I155" s="20">
        <f>IF(A155="","",SUMIFS('Jobs'!$H$2:$H$501,'Jobs'!$B$2:$B$501,A155,'Jobs'!$I$2:$I$501,"No"))</f>
        <v/>
      </c>
      <c r="J155" s="24">
        <f>IF(A155="","",IF(COUNTIF('Jobs'!$B$2:$B$501,A155)=0,"",SUMPRODUCT(MAX(('Jobs'!$B$2:$B$501=A155)*'Jobs'!$A$2:$A$501))))</f>
        <v/>
      </c>
    </row>
    <row r="156">
      <c r="G156" s="23">
        <f>IF(A156="","",COUNTIF('Jobs'!$B$2:$B$501,A156))</f>
        <v/>
      </c>
      <c r="H156" s="20">
        <f>IF(A156="","",SUMIF('Jobs'!$B$2:$B$501,A156,'Jobs'!$H$2:$H$501))</f>
        <v/>
      </c>
      <c r="I156" s="20">
        <f>IF(A156="","",SUMIFS('Jobs'!$H$2:$H$501,'Jobs'!$B$2:$B$501,A156,'Jobs'!$I$2:$I$501,"No"))</f>
        <v/>
      </c>
      <c r="J156" s="24">
        <f>IF(A156="","",IF(COUNTIF('Jobs'!$B$2:$B$501,A156)=0,"",SUMPRODUCT(MAX(('Jobs'!$B$2:$B$501=A156)*'Jobs'!$A$2:$A$501))))</f>
        <v/>
      </c>
    </row>
    <row r="157">
      <c r="G157" s="23">
        <f>IF(A157="","",COUNTIF('Jobs'!$B$2:$B$501,A157))</f>
        <v/>
      </c>
      <c r="H157" s="20">
        <f>IF(A157="","",SUMIF('Jobs'!$B$2:$B$501,A157,'Jobs'!$H$2:$H$501))</f>
        <v/>
      </c>
      <c r="I157" s="20">
        <f>IF(A157="","",SUMIFS('Jobs'!$H$2:$H$501,'Jobs'!$B$2:$B$501,A157,'Jobs'!$I$2:$I$501,"No"))</f>
        <v/>
      </c>
      <c r="J157" s="24">
        <f>IF(A157="","",IF(COUNTIF('Jobs'!$B$2:$B$501,A157)=0,"",SUMPRODUCT(MAX(('Jobs'!$B$2:$B$501=A157)*'Jobs'!$A$2:$A$501))))</f>
        <v/>
      </c>
    </row>
    <row r="158">
      <c r="G158" s="23">
        <f>IF(A158="","",COUNTIF('Jobs'!$B$2:$B$501,A158))</f>
        <v/>
      </c>
      <c r="H158" s="20">
        <f>IF(A158="","",SUMIF('Jobs'!$B$2:$B$501,A158,'Jobs'!$H$2:$H$501))</f>
        <v/>
      </c>
      <c r="I158" s="20">
        <f>IF(A158="","",SUMIFS('Jobs'!$H$2:$H$501,'Jobs'!$B$2:$B$501,A158,'Jobs'!$I$2:$I$501,"No"))</f>
        <v/>
      </c>
      <c r="J158" s="24">
        <f>IF(A158="","",IF(COUNTIF('Jobs'!$B$2:$B$501,A158)=0,"",SUMPRODUCT(MAX(('Jobs'!$B$2:$B$501=A158)*'Jobs'!$A$2:$A$501))))</f>
        <v/>
      </c>
    </row>
    <row r="159">
      <c r="G159" s="23">
        <f>IF(A159="","",COUNTIF('Jobs'!$B$2:$B$501,A159))</f>
        <v/>
      </c>
      <c r="H159" s="20">
        <f>IF(A159="","",SUMIF('Jobs'!$B$2:$B$501,A159,'Jobs'!$H$2:$H$501))</f>
        <v/>
      </c>
      <c r="I159" s="20">
        <f>IF(A159="","",SUMIFS('Jobs'!$H$2:$H$501,'Jobs'!$B$2:$B$501,A159,'Jobs'!$I$2:$I$501,"No"))</f>
        <v/>
      </c>
      <c r="J159" s="24">
        <f>IF(A159="","",IF(COUNTIF('Jobs'!$B$2:$B$501,A159)=0,"",SUMPRODUCT(MAX(('Jobs'!$B$2:$B$501=A159)*'Jobs'!$A$2:$A$501))))</f>
        <v/>
      </c>
    </row>
    <row r="160">
      <c r="G160" s="23">
        <f>IF(A160="","",COUNTIF('Jobs'!$B$2:$B$501,A160))</f>
        <v/>
      </c>
      <c r="H160" s="20">
        <f>IF(A160="","",SUMIF('Jobs'!$B$2:$B$501,A160,'Jobs'!$H$2:$H$501))</f>
        <v/>
      </c>
      <c r="I160" s="20">
        <f>IF(A160="","",SUMIFS('Jobs'!$H$2:$H$501,'Jobs'!$B$2:$B$501,A160,'Jobs'!$I$2:$I$501,"No"))</f>
        <v/>
      </c>
      <c r="J160" s="24">
        <f>IF(A160="","",IF(COUNTIF('Jobs'!$B$2:$B$501,A160)=0,"",SUMPRODUCT(MAX(('Jobs'!$B$2:$B$501=A160)*'Jobs'!$A$2:$A$501))))</f>
        <v/>
      </c>
    </row>
    <row r="161">
      <c r="G161" s="23">
        <f>IF(A161="","",COUNTIF('Jobs'!$B$2:$B$501,A161))</f>
        <v/>
      </c>
      <c r="H161" s="20">
        <f>IF(A161="","",SUMIF('Jobs'!$B$2:$B$501,A161,'Jobs'!$H$2:$H$501))</f>
        <v/>
      </c>
      <c r="I161" s="20">
        <f>IF(A161="","",SUMIFS('Jobs'!$H$2:$H$501,'Jobs'!$B$2:$B$501,A161,'Jobs'!$I$2:$I$501,"No"))</f>
        <v/>
      </c>
      <c r="J161" s="24">
        <f>IF(A161="","",IF(COUNTIF('Jobs'!$B$2:$B$501,A161)=0,"",SUMPRODUCT(MAX(('Jobs'!$B$2:$B$501=A161)*'Jobs'!$A$2:$A$501))))</f>
        <v/>
      </c>
    </row>
    <row r="162">
      <c r="G162" s="23">
        <f>IF(A162="","",COUNTIF('Jobs'!$B$2:$B$501,A162))</f>
        <v/>
      </c>
      <c r="H162" s="20">
        <f>IF(A162="","",SUMIF('Jobs'!$B$2:$B$501,A162,'Jobs'!$H$2:$H$501))</f>
        <v/>
      </c>
      <c r="I162" s="20">
        <f>IF(A162="","",SUMIFS('Jobs'!$H$2:$H$501,'Jobs'!$B$2:$B$501,A162,'Jobs'!$I$2:$I$501,"No"))</f>
        <v/>
      </c>
      <c r="J162" s="24">
        <f>IF(A162="","",IF(COUNTIF('Jobs'!$B$2:$B$501,A162)=0,"",SUMPRODUCT(MAX(('Jobs'!$B$2:$B$501=A162)*'Jobs'!$A$2:$A$501))))</f>
        <v/>
      </c>
    </row>
    <row r="163">
      <c r="G163" s="23">
        <f>IF(A163="","",COUNTIF('Jobs'!$B$2:$B$501,A163))</f>
        <v/>
      </c>
      <c r="H163" s="20">
        <f>IF(A163="","",SUMIF('Jobs'!$B$2:$B$501,A163,'Jobs'!$H$2:$H$501))</f>
        <v/>
      </c>
      <c r="I163" s="20">
        <f>IF(A163="","",SUMIFS('Jobs'!$H$2:$H$501,'Jobs'!$B$2:$B$501,A163,'Jobs'!$I$2:$I$501,"No"))</f>
        <v/>
      </c>
      <c r="J163" s="24">
        <f>IF(A163="","",IF(COUNTIF('Jobs'!$B$2:$B$501,A163)=0,"",SUMPRODUCT(MAX(('Jobs'!$B$2:$B$501=A163)*'Jobs'!$A$2:$A$501))))</f>
        <v/>
      </c>
    </row>
    <row r="164">
      <c r="G164" s="23">
        <f>IF(A164="","",COUNTIF('Jobs'!$B$2:$B$501,A164))</f>
        <v/>
      </c>
      <c r="H164" s="20">
        <f>IF(A164="","",SUMIF('Jobs'!$B$2:$B$501,A164,'Jobs'!$H$2:$H$501))</f>
        <v/>
      </c>
      <c r="I164" s="20">
        <f>IF(A164="","",SUMIFS('Jobs'!$H$2:$H$501,'Jobs'!$B$2:$B$501,A164,'Jobs'!$I$2:$I$501,"No"))</f>
        <v/>
      </c>
      <c r="J164" s="24">
        <f>IF(A164="","",IF(COUNTIF('Jobs'!$B$2:$B$501,A164)=0,"",SUMPRODUCT(MAX(('Jobs'!$B$2:$B$501=A164)*'Jobs'!$A$2:$A$501))))</f>
        <v/>
      </c>
    </row>
    <row r="165">
      <c r="G165" s="23">
        <f>IF(A165="","",COUNTIF('Jobs'!$B$2:$B$501,A165))</f>
        <v/>
      </c>
      <c r="H165" s="20">
        <f>IF(A165="","",SUMIF('Jobs'!$B$2:$B$501,A165,'Jobs'!$H$2:$H$501))</f>
        <v/>
      </c>
      <c r="I165" s="20">
        <f>IF(A165="","",SUMIFS('Jobs'!$H$2:$H$501,'Jobs'!$B$2:$B$501,A165,'Jobs'!$I$2:$I$501,"No"))</f>
        <v/>
      </c>
      <c r="J165" s="24">
        <f>IF(A165="","",IF(COUNTIF('Jobs'!$B$2:$B$501,A165)=0,"",SUMPRODUCT(MAX(('Jobs'!$B$2:$B$501=A165)*'Jobs'!$A$2:$A$501))))</f>
        <v/>
      </c>
    </row>
    <row r="166">
      <c r="G166" s="23">
        <f>IF(A166="","",COUNTIF('Jobs'!$B$2:$B$501,A166))</f>
        <v/>
      </c>
      <c r="H166" s="20">
        <f>IF(A166="","",SUMIF('Jobs'!$B$2:$B$501,A166,'Jobs'!$H$2:$H$501))</f>
        <v/>
      </c>
      <c r="I166" s="20">
        <f>IF(A166="","",SUMIFS('Jobs'!$H$2:$H$501,'Jobs'!$B$2:$B$501,A166,'Jobs'!$I$2:$I$501,"No"))</f>
        <v/>
      </c>
      <c r="J166" s="24">
        <f>IF(A166="","",IF(COUNTIF('Jobs'!$B$2:$B$501,A166)=0,"",SUMPRODUCT(MAX(('Jobs'!$B$2:$B$501=A166)*'Jobs'!$A$2:$A$501))))</f>
        <v/>
      </c>
    </row>
    <row r="167">
      <c r="G167" s="23">
        <f>IF(A167="","",COUNTIF('Jobs'!$B$2:$B$501,A167))</f>
        <v/>
      </c>
      <c r="H167" s="20">
        <f>IF(A167="","",SUMIF('Jobs'!$B$2:$B$501,A167,'Jobs'!$H$2:$H$501))</f>
        <v/>
      </c>
      <c r="I167" s="20">
        <f>IF(A167="","",SUMIFS('Jobs'!$H$2:$H$501,'Jobs'!$B$2:$B$501,A167,'Jobs'!$I$2:$I$501,"No"))</f>
        <v/>
      </c>
      <c r="J167" s="24">
        <f>IF(A167="","",IF(COUNTIF('Jobs'!$B$2:$B$501,A167)=0,"",SUMPRODUCT(MAX(('Jobs'!$B$2:$B$501=A167)*'Jobs'!$A$2:$A$501))))</f>
        <v/>
      </c>
    </row>
    <row r="168">
      <c r="G168" s="23">
        <f>IF(A168="","",COUNTIF('Jobs'!$B$2:$B$501,A168))</f>
        <v/>
      </c>
      <c r="H168" s="20">
        <f>IF(A168="","",SUMIF('Jobs'!$B$2:$B$501,A168,'Jobs'!$H$2:$H$501))</f>
        <v/>
      </c>
      <c r="I168" s="20">
        <f>IF(A168="","",SUMIFS('Jobs'!$H$2:$H$501,'Jobs'!$B$2:$B$501,A168,'Jobs'!$I$2:$I$501,"No"))</f>
        <v/>
      </c>
      <c r="J168" s="24">
        <f>IF(A168="","",IF(COUNTIF('Jobs'!$B$2:$B$501,A168)=0,"",SUMPRODUCT(MAX(('Jobs'!$B$2:$B$501=A168)*'Jobs'!$A$2:$A$501))))</f>
        <v/>
      </c>
    </row>
    <row r="169">
      <c r="G169" s="23">
        <f>IF(A169="","",COUNTIF('Jobs'!$B$2:$B$501,A169))</f>
        <v/>
      </c>
      <c r="H169" s="20">
        <f>IF(A169="","",SUMIF('Jobs'!$B$2:$B$501,A169,'Jobs'!$H$2:$H$501))</f>
        <v/>
      </c>
      <c r="I169" s="20">
        <f>IF(A169="","",SUMIFS('Jobs'!$H$2:$H$501,'Jobs'!$B$2:$B$501,A169,'Jobs'!$I$2:$I$501,"No"))</f>
        <v/>
      </c>
      <c r="J169" s="24">
        <f>IF(A169="","",IF(COUNTIF('Jobs'!$B$2:$B$501,A169)=0,"",SUMPRODUCT(MAX(('Jobs'!$B$2:$B$501=A169)*'Jobs'!$A$2:$A$501))))</f>
        <v/>
      </c>
    </row>
    <row r="170">
      <c r="G170" s="23">
        <f>IF(A170="","",COUNTIF('Jobs'!$B$2:$B$501,A170))</f>
        <v/>
      </c>
      <c r="H170" s="20">
        <f>IF(A170="","",SUMIF('Jobs'!$B$2:$B$501,A170,'Jobs'!$H$2:$H$501))</f>
        <v/>
      </c>
      <c r="I170" s="20">
        <f>IF(A170="","",SUMIFS('Jobs'!$H$2:$H$501,'Jobs'!$B$2:$B$501,A170,'Jobs'!$I$2:$I$501,"No"))</f>
        <v/>
      </c>
      <c r="J170" s="24">
        <f>IF(A170="","",IF(COUNTIF('Jobs'!$B$2:$B$501,A170)=0,"",SUMPRODUCT(MAX(('Jobs'!$B$2:$B$501=A170)*'Jobs'!$A$2:$A$501))))</f>
        <v/>
      </c>
    </row>
    <row r="171">
      <c r="G171" s="23">
        <f>IF(A171="","",COUNTIF('Jobs'!$B$2:$B$501,A171))</f>
        <v/>
      </c>
      <c r="H171" s="20">
        <f>IF(A171="","",SUMIF('Jobs'!$B$2:$B$501,A171,'Jobs'!$H$2:$H$501))</f>
        <v/>
      </c>
      <c r="I171" s="20">
        <f>IF(A171="","",SUMIFS('Jobs'!$H$2:$H$501,'Jobs'!$B$2:$B$501,A171,'Jobs'!$I$2:$I$501,"No"))</f>
        <v/>
      </c>
      <c r="J171" s="24">
        <f>IF(A171="","",IF(COUNTIF('Jobs'!$B$2:$B$501,A171)=0,"",SUMPRODUCT(MAX(('Jobs'!$B$2:$B$501=A171)*'Jobs'!$A$2:$A$501))))</f>
        <v/>
      </c>
    </row>
    <row r="172">
      <c r="G172" s="23">
        <f>IF(A172="","",COUNTIF('Jobs'!$B$2:$B$501,A172))</f>
        <v/>
      </c>
      <c r="H172" s="20">
        <f>IF(A172="","",SUMIF('Jobs'!$B$2:$B$501,A172,'Jobs'!$H$2:$H$501))</f>
        <v/>
      </c>
      <c r="I172" s="20">
        <f>IF(A172="","",SUMIFS('Jobs'!$H$2:$H$501,'Jobs'!$B$2:$B$501,A172,'Jobs'!$I$2:$I$501,"No"))</f>
        <v/>
      </c>
      <c r="J172" s="24">
        <f>IF(A172="","",IF(COUNTIF('Jobs'!$B$2:$B$501,A172)=0,"",SUMPRODUCT(MAX(('Jobs'!$B$2:$B$501=A172)*'Jobs'!$A$2:$A$501))))</f>
        <v/>
      </c>
    </row>
    <row r="173">
      <c r="G173" s="23">
        <f>IF(A173="","",COUNTIF('Jobs'!$B$2:$B$501,A173))</f>
        <v/>
      </c>
      <c r="H173" s="20">
        <f>IF(A173="","",SUMIF('Jobs'!$B$2:$B$501,A173,'Jobs'!$H$2:$H$501))</f>
        <v/>
      </c>
      <c r="I173" s="20">
        <f>IF(A173="","",SUMIFS('Jobs'!$H$2:$H$501,'Jobs'!$B$2:$B$501,A173,'Jobs'!$I$2:$I$501,"No"))</f>
        <v/>
      </c>
      <c r="J173" s="24">
        <f>IF(A173="","",IF(COUNTIF('Jobs'!$B$2:$B$501,A173)=0,"",SUMPRODUCT(MAX(('Jobs'!$B$2:$B$501=A173)*'Jobs'!$A$2:$A$501))))</f>
        <v/>
      </c>
    </row>
    <row r="174">
      <c r="G174" s="23">
        <f>IF(A174="","",COUNTIF('Jobs'!$B$2:$B$501,A174))</f>
        <v/>
      </c>
      <c r="H174" s="20">
        <f>IF(A174="","",SUMIF('Jobs'!$B$2:$B$501,A174,'Jobs'!$H$2:$H$501))</f>
        <v/>
      </c>
      <c r="I174" s="20">
        <f>IF(A174="","",SUMIFS('Jobs'!$H$2:$H$501,'Jobs'!$B$2:$B$501,A174,'Jobs'!$I$2:$I$501,"No"))</f>
        <v/>
      </c>
      <c r="J174" s="24">
        <f>IF(A174="","",IF(COUNTIF('Jobs'!$B$2:$B$501,A174)=0,"",SUMPRODUCT(MAX(('Jobs'!$B$2:$B$501=A174)*'Jobs'!$A$2:$A$501))))</f>
        <v/>
      </c>
    </row>
    <row r="175">
      <c r="G175" s="23">
        <f>IF(A175="","",COUNTIF('Jobs'!$B$2:$B$501,A175))</f>
        <v/>
      </c>
      <c r="H175" s="20">
        <f>IF(A175="","",SUMIF('Jobs'!$B$2:$B$501,A175,'Jobs'!$H$2:$H$501))</f>
        <v/>
      </c>
      <c r="I175" s="20">
        <f>IF(A175="","",SUMIFS('Jobs'!$H$2:$H$501,'Jobs'!$B$2:$B$501,A175,'Jobs'!$I$2:$I$501,"No"))</f>
        <v/>
      </c>
      <c r="J175" s="24">
        <f>IF(A175="","",IF(COUNTIF('Jobs'!$B$2:$B$501,A175)=0,"",SUMPRODUCT(MAX(('Jobs'!$B$2:$B$501=A175)*'Jobs'!$A$2:$A$501))))</f>
        <v/>
      </c>
    </row>
    <row r="176">
      <c r="G176" s="23">
        <f>IF(A176="","",COUNTIF('Jobs'!$B$2:$B$501,A176))</f>
        <v/>
      </c>
      <c r="H176" s="20">
        <f>IF(A176="","",SUMIF('Jobs'!$B$2:$B$501,A176,'Jobs'!$H$2:$H$501))</f>
        <v/>
      </c>
      <c r="I176" s="20">
        <f>IF(A176="","",SUMIFS('Jobs'!$H$2:$H$501,'Jobs'!$B$2:$B$501,A176,'Jobs'!$I$2:$I$501,"No"))</f>
        <v/>
      </c>
      <c r="J176" s="24">
        <f>IF(A176="","",IF(COUNTIF('Jobs'!$B$2:$B$501,A176)=0,"",SUMPRODUCT(MAX(('Jobs'!$B$2:$B$501=A176)*'Jobs'!$A$2:$A$501))))</f>
        <v/>
      </c>
    </row>
    <row r="177">
      <c r="G177" s="23">
        <f>IF(A177="","",COUNTIF('Jobs'!$B$2:$B$501,A177))</f>
        <v/>
      </c>
      <c r="H177" s="20">
        <f>IF(A177="","",SUMIF('Jobs'!$B$2:$B$501,A177,'Jobs'!$H$2:$H$501))</f>
        <v/>
      </c>
      <c r="I177" s="20">
        <f>IF(A177="","",SUMIFS('Jobs'!$H$2:$H$501,'Jobs'!$B$2:$B$501,A177,'Jobs'!$I$2:$I$501,"No"))</f>
        <v/>
      </c>
      <c r="J177" s="24">
        <f>IF(A177="","",IF(COUNTIF('Jobs'!$B$2:$B$501,A177)=0,"",SUMPRODUCT(MAX(('Jobs'!$B$2:$B$501=A177)*'Jobs'!$A$2:$A$501))))</f>
        <v/>
      </c>
    </row>
    <row r="178">
      <c r="G178" s="23">
        <f>IF(A178="","",COUNTIF('Jobs'!$B$2:$B$501,A178))</f>
        <v/>
      </c>
      <c r="H178" s="20">
        <f>IF(A178="","",SUMIF('Jobs'!$B$2:$B$501,A178,'Jobs'!$H$2:$H$501))</f>
        <v/>
      </c>
      <c r="I178" s="20">
        <f>IF(A178="","",SUMIFS('Jobs'!$H$2:$H$501,'Jobs'!$B$2:$B$501,A178,'Jobs'!$I$2:$I$501,"No"))</f>
        <v/>
      </c>
      <c r="J178" s="24">
        <f>IF(A178="","",IF(COUNTIF('Jobs'!$B$2:$B$501,A178)=0,"",SUMPRODUCT(MAX(('Jobs'!$B$2:$B$501=A178)*'Jobs'!$A$2:$A$501))))</f>
        <v/>
      </c>
    </row>
    <row r="179">
      <c r="G179" s="23">
        <f>IF(A179="","",COUNTIF('Jobs'!$B$2:$B$501,A179))</f>
        <v/>
      </c>
      <c r="H179" s="20">
        <f>IF(A179="","",SUMIF('Jobs'!$B$2:$B$501,A179,'Jobs'!$H$2:$H$501))</f>
        <v/>
      </c>
      <c r="I179" s="20">
        <f>IF(A179="","",SUMIFS('Jobs'!$H$2:$H$501,'Jobs'!$B$2:$B$501,A179,'Jobs'!$I$2:$I$501,"No"))</f>
        <v/>
      </c>
      <c r="J179" s="24">
        <f>IF(A179="","",IF(COUNTIF('Jobs'!$B$2:$B$501,A179)=0,"",SUMPRODUCT(MAX(('Jobs'!$B$2:$B$501=A179)*'Jobs'!$A$2:$A$501))))</f>
        <v/>
      </c>
    </row>
    <row r="180">
      <c r="G180" s="23">
        <f>IF(A180="","",COUNTIF('Jobs'!$B$2:$B$501,A180))</f>
        <v/>
      </c>
      <c r="H180" s="20">
        <f>IF(A180="","",SUMIF('Jobs'!$B$2:$B$501,A180,'Jobs'!$H$2:$H$501))</f>
        <v/>
      </c>
      <c r="I180" s="20">
        <f>IF(A180="","",SUMIFS('Jobs'!$H$2:$H$501,'Jobs'!$B$2:$B$501,A180,'Jobs'!$I$2:$I$501,"No"))</f>
        <v/>
      </c>
      <c r="J180" s="24">
        <f>IF(A180="","",IF(COUNTIF('Jobs'!$B$2:$B$501,A180)=0,"",SUMPRODUCT(MAX(('Jobs'!$B$2:$B$501=A180)*'Jobs'!$A$2:$A$501))))</f>
        <v/>
      </c>
    </row>
    <row r="181">
      <c r="G181" s="23">
        <f>IF(A181="","",COUNTIF('Jobs'!$B$2:$B$501,A181))</f>
        <v/>
      </c>
      <c r="H181" s="20">
        <f>IF(A181="","",SUMIF('Jobs'!$B$2:$B$501,A181,'Jobs'!$H$2:$H$501))</f>
        <v/>
      </c>
      <c r="I181" s="20">
        <f>IF(A181="","",SUMIFS('Jobs'!$H$2:$H$501,'Jobs'!$B$2:$B$501,A181,'Jobs'!$I$2:$I$501,"No"))</f>
        <v/>
      </c>
      <c r="J181" s="24">
        <f>IF(A181="","",IF(COUNTIF('Jobs'!$B$2:$B$501,A181)=0,"",SUMPRODUCT(MAX(('Jobs'!$B$2:$B$501=A181)*'Jobs'!$A$2:$A$501))))</f>
        <v/>
      </c>
    </row>
    <row r="182">
      <c r="G182" s="23">
        <f>IF(A182="","",COUNTIF('Jobs'!$B$2:$B$501,A182))</f>
        <v/>
      </c>
      <c r="H182" s="20">
        <f>IF(A182="","",SUMIF('Jobs'!$B$2:$B$501,A182,'Jobs'!$H$2:$H$501))</f>
        <v/>
      </c>
      <c r="I182" s="20">
        <f>IF(A182="","",SUMIFS('Jobs'!$H$2:$H$501,'Jobs'!$B$2:$B$501,A182,'Jobs'!$I$2:$I$501,"No"))</f>
        <v/>
      </c>
      <c r="J182" s="24">
        <f>IF(A182="","",IF(COUNTIF('Jobs'!$B$2:$B$501,A182)=0,"",SUMPRODUCT(MAX(('Jobs'!$B$2:$B$501=A182)*'Jobs'!$A$2:$A$501))))</f>
        <v/>
      </c>
    </row>
    <row r="183">
      <c r="G183" s="23">
        <f>IF(A183="","",COUNTIF('Jobs'!$B$2:$B$501,A183))</f>
        <v/>
      </c>
      <c r="H183" s="20">
        <f>IF(A183="","",SUMIF('Jobs'!$B$2:$B$501,A183,'Jobs'!$H$2:$H$501))</f>
        <v/>
      </c>
      <c r="I183" s="20">
        <f>IF(A183="","",SUMIFS('Jobs'!$H$2:$H$501,'Jobs'!$B$2:$B$501,A183,'Jobs'!$I$2:$I$501,"No"))</f>
        <v/>
      </c>
      <c r="J183" s="24">
        <f>IF(A183="","",IF(COUNTIF('Jobs'!$B$2:$B$501,A183)=0,"",SUMPRODUCT(MAX(('Jobs'!$B$2:$B$501=A183)*'Jobs'!$A$2:$A$501))))</f>
        <v/>
      </c>
    </row>
    <row r="184">
      <c r="G184" s="23">
        <f>IF(A184="","",COUNTIF('Jobs'!$B$2:$B$501,A184))</f>
        <v/>
      </c>
      <c r="H184" s="20">
        <f>IF(A184="","",SUMIF('Jobs'!$B$2:$B$501,A184,'Jobs'!$H$2:$H$501))</f>
        <v/>
      </c>
      <c r="I184" s="20">
        <f>IF(A184="","",SUMIFS('Jobs'!$H$2:$H$501,'Jobs'!$B$2:$B$501,A184,'Jobs'!$I$2:$I$501,"No"))</f>
        <v/>
      </c>
      <c r="J184" s="24">
        <f>IF(A184="","",IF(COUNTIF('Jobs'!$B$2:$B$501,A184)=0,"",SUMPRODUCT(MAX(('Jobs'!$B$2:$B$501=A184)*'Jobs'!$A$2:$A$501))))</f>
        <v/>
      </c>
    </row>
    <row r="185">
      <c r="G185" s="23">
        <f>IF(A185="","",COUNTIF('Jobs'!$B$2:$B$501,A185))</f>
        <v/>
      </c>
      <c r="H185" s="20">
        <f>IF(A185="","",SUMIF('Jobs'!$B$2:$B$501,A185,'Jobs'!$H$2:$H$501))</f>
        <v/>
      </c>
      <c r="I185" s="20">
        <f>IF(A185="","",SUMIFS('Jobs'!$H$2:$H$501,'Jobs'!$B$2:$B$501,A185,'Jobs'!$I$2:$I$501,"No"))</f>
        <v/>
      </c>
      <c r="J185" s="24">
        <f>IF(A185="","",IF(COUNTIF('Jobs'!$B$2:$B$501,A185)=0,"",SUMPRODUCT(MAX(('Jobs'!$B$2:$B$501=A185)*'Jobs'!$A$2:$A$501))))</f>
        <v/>
      </c>
    </row>
    <row r="186">
      <c r="G186" s="23">
        <f>IF(A186="","",COUNTIF('Jobs'!$B$2:$B$501,A186))</f>
        <v/>
      </c>
      <c r="H186" s="20">
        <f>IF(A186="","",SUMIF('Jobs'!$B$2:$B$501,A186,'Jobs'!$H$2:$H$501))</f>
        <v/>
      </c>
      <c r="I186" s="20">
        <f>IF(A186="","",SUMIFS('Jobs'!$H$2:$H$501,'Jobs'!$B$2:$B$501,A186,'Jobs'!$I$2:$I$501,"No"))</f>
        <v/>
      </c>
      <c r="J186" s="24">
        <f>IF(A186="","",IF(COUNTIF('Jobs'!$B$2:$B$501,A186)=0,"",SUMPRODUCT(MAX(('Jobs'!$B$2:$B$501=A186)*'Jobs'!$A$2:$A$501))))</f>
        <v/>
      </c>
    </row>
    <row r="187">
      <c r="G187" s="23">
        <f>IF(A187="","",COUNTIF('Jobs'!$B$2:$B$501,A187))</f>
        <v/>
      </c>
      <c r="H187" s="20">
        <f>IF(A187="","",SUMIF('Jobs'!$B$2:$B$501,A187,'Jobs'!$H$2:$H$501))</f>
        <v/>
      </c>
      <c r="I187" s="20">
        <f>IF(A187="","",SUMIFS('Jobs'!$H$2:$H$501,'Jobs'!$B$2:$B$501,A187,'Jobs'!$I$2:$I$501,"No"))</f>
        <v/>
      </c>
      <c r="J187" s="24">
        <f>IF(A187="","",IF(COUNTIF('Jobs'!$B$2:$B$501,A187)=0,"",SUMPRODUCT(MAX(('Jobs'!$B$2:$B$501=A187)*'Jobs'!$A$2:$A$501))))</f>
        <v/>
      </c>
    </row>
    <row r="188">
      <c r="G188" s="23">
        <f>IF(A188="","",COUNTIF('Jobs'!$B$2:$B$501,A188))</f>
        <v/>
      </c>
      <c r="H188" s="20">
        <f>IF(A188="","",SUMIF('Jobs'!$B$2:$B$501,A188,'Jobs'!$H$2:$H$501))</f>
        <v/>
      </c>
      <c r="I188" s="20">
        <f>IF(A188="","",SUMIFS('Jobs'!$H$2:$H$501,'Jobs'!$B$2:$B$501,A188,'Jobs'!$I$2:$I$501,"No"))</f>
        <v/>
      </c>
      <c r="J188" s="24">
        <f>IF(A188="","",IF(COUNTIF('Jobs'!$B$2:$B$501,A188)=0,"",SUMPRODUCT(MAX(('Jobs'!$B$2:$B$501=A188)*'Jobs'!$A$2:$A$501))))</f>
        <v/>
      </c>
    </row>
    <row r="189">
      <c r="G189" s="23">
        <f>IF(A189="","",COUNTIF('Jobs'!$B$2:$B$501,A189))</f>
        <v/>
      </c>
      <c r="H189" s="20">
        <f>IF(A189="","",SUMIF('Jobs'!$B$2:$B$501,A189,'Jobs'!$H$2:$H$501))</f>
        <v/>
      </c>
      <c r="I189" s="20">
        <f>IF(A189="","",SUMIFS('Jobs'!$H$2:$H$501,'Jobs'!$B$2:$B$501,A189,'Jobs'!$I$2:$I$501,"No"))</f>
        <v/>
      </c>
      <c r="J189" s="24">
        <f>IF(A189="","",IF(COUNTIF('Jobs'!$B$2:$B$501,A189)=0,"",SUMPRODUCT(MAX(('Jobs'!$B$2:$B$501=A189)*'Jobs'!$A$2:$A$501))))</f>
        <v/>
      </c>
    </row>
    <row r="190">
      <c r="G190" s="23">
        <f>IF(A190="","",COUNTIF('Jobs'!$B$2:$B$501,A190))</f>
        <v/>
      </c>
      <c r="H190" s="20">
        <f>IF(A190="","",SUMIF('Jobs'!$B$2:$B$501,A190,'Jobs'!$H$2:$H$501))</f>
        <v/>
      </c>
      <c r="I190" s="20">
        <f>IF(A190="","",SUMIFS('Jobs'!$H$2:$H$501,'Jobs'!$B$2:$B$501,A190,'Jobs'!$I$2:$I$501,"No"))</f>
        <v/>
      </c>
      <c r="J190" s="24">
        <f>IF(A190="","",IF(COUNTIF('Jobs'!$B$2:$B$501,A190)=0,"",SUMPRODUCT(MAX(('Jobs'!$B$2:$B$501=A190)*'Jobs'!$A$2:$A$501))))</f>
        <v/>
      </c>
    </row>
    <row r="191">
      <c r="G191" s="23">
        <f>IF(A191="","",COUNTIF('Jobs'!$B$2:$B$501,A191))</f>
        <v/>
      </c>
      <c r="H191" s="20">
        <f>IF(A191="","",SUMIF('Jobs'!$B$2:$B$501,A191,'Jobs'!$H$2:$H$501))</f>
        <v/>
      </c>
      <c r="I191" s="20">
        <f>IF(A191="","",SUMIFS('Jobs'!$H$2:$H$501,'Jobs'!$B$2:$B$501,A191,'Jobs'!$I$2:$I$501,"No"))</f>
        <v/>
      </c>
      <c r="J191" s="24">
        <f>IF(A191="","",IF(COUNTIF('Jobs'!$B$2:$B$501,A191)=0,"",SUMPRODUCT(MAX(('Jobs'!$B$2:$B$501=A191)*'Jobs'!$A$2:$A$501))))</f>
        <v/>
      </c>
    </row>
    <row r="192">
      <c r="G192" s="23">
        <f>IF(A192="","",COUNTIF('Jobs'!$B$2:$B$501,A192))</f>
        <v/>
      </c>
      <c r="H192" s="20">
        <f>IF(A192="","",SUMIF('Jobs'!$B$2:$B$501,A192,'Jobs'!$H$2:$H$501))</f>
        <v/>
      </c>
      <c r="I192" s="20">
        <f>IF(A192="","",SUMIFS('Jobs'!$H$2:$H$501,'Jobs'!$B$2:$B$501,A192,'Jobs'!$I$2:$I$501,"No"))</f>
        <v/>
      </c>
      <c r="J192" s="24">
        <f>IF(A192="","",IF(COUNTIF('Jobs'!$B$2:$B$501,A192)=0,"",SUMPRODUCT(MAX(('Jobs'!$B$2:$B$501=A192)*'Jobs'!$A$2:$A$501))))</f>
        <v/>
      </c>
    </row>
    <row r="193">
      <c r="G193" s="23">
        <f>IF(A193="","",COUNTIF('Jobs'!$B$2:$B$501,A193))</f>
        <v/>
      </c>
      <c r="H193" s="20">
        <f>IF(A193="","",SUMIF('Jobs'!$B$2:$B$501,A193,'Jobs'!$H$2:$H$501))</f>
        <v/>
      </c>
      <c r="I193" s="20">
        <f>IF(A193="","",SUMIFS('Jobs'!$H$2:$H$501,'Jobs'!$B$2:$B$501,A193,'Jobs'!$I$2:$I$501,"No"))</f>
        <v/>
      </c>
      <c r="J193" s="24">
        <f>IF(A193="","",IF(COUNTIF('Jobs'!$B$2:$B$501,A193)=0,"",SUMPRODUCT(MAX(('Jobs'!$B$2:$B$501=A193)*'Jobs'!$A$2:$A$501))))</f>
        <v/>
      </c>
    </row>
    <row r="194">
      <c r="G194" s="23">
        <f>IF(A194="","",COUNTIF('Jobs'!$B$2:$B$501,A194))</f>
        <v/>
      </c>
      <c r="H194" s="20">
        <f>IF(A194="","",SUMIF('Jobs'!$B$2:$B$501,A194,'Jobs'!$H$2:$H$501))</f>
        <v/>
      </c>
      <c r="I194" s="20">
        <f>IF(A194="","",SUMIFS('Jobs'!$H$2:$H$501,'Jobs'!$B$2:$B$501,A194,'Jobs'!$I$2:$I$501,"No"))</f>
        <v/>
      </c>
      <c r="J194" s="24">
        <f>IF(A194="","",IF(COUNTIF('Jobs'!$B$2:$B$501,A194)=0,"",SUMPRODUCT(MAX(('Jobs'!$B$2:$B$501=A194)*'Jobs'!$A$2:$A$501))))</f>
        <v/>
      </c>
    </row>
    <row r="195">
      <c r="G195" s="23">
        <f>IF(A195="","",COUNTIF('Jobs'!$B$2:$B$501,A195))</f>
        <v/>
      </c>
      <c r="H195" s="20">
        <f>IF(A195="","",SUMIF('Jobs'!$B$2:$B$501,A195,'Jobs'!$H$2:$H$501))</f>
        <v/>
      </c>
      <c r="I195" s="20">
        <f>IF(A195="","",SUMIFS('Jobs'!$H$2:$H$501,'Jobs'!$B$2:$B$501,A195,'Jobs'!$I$2:$I$501,"No"))</f>
        <v/>
      </c>
      <c r="J195" s="24">
        <f>IF(A195="","",IF(COUNTIF('Jobs'!$B$2:$B$501,A195)=0,"",SUMPRODUCT(MAX(('Jobs'!$B$2:$B$501=A195)*'Jobs'!$A$2:$A$501))))</f>
        <v/>
      </c>
    </row>
    <row r="196">
      <c r="G196" s="23">
        <f>IF(A196="","",COUNTIF('Jobs'!$B$2:$B$501,A196))</f>
        <v/>
      </c>
      <c r="H196" s="20">
        <f>IF(A196="","",SUMIF('Jobs'!$B$2:$B$501,A196,'Jobs'!$H$2:$H$501))</f>
        <v/>
      </c>
      <c r="I196" s="20">
        <f>IF(A196="","",SUMIFS('Jobs'!$H$2:$H$501,'Jobs'!$B$2:$B$501,A196,'Jobs'!$I$2:$I$501,"No"))</f>
        <v/>
      </c>
      <c r="J196" s="24">
        <f>IF(A196="","",IF(COUNTIF('Jobs'!$B$2:$B$501,A196)=0,"",SUMPRODUCT(MAX(('Jobs'!$B$2:$B$501=A196)*'Jobs'!$A$2:$A$501))))</f>
        <v/>
      </c>
    </row>
    <row r="197">
      <c r="G197" s="23">
        <f>IF(A197="","",COUNTIF('Jobs'!$B$2:$B$501,A197))</f>
        <v/>
      </c>
      <c r="H197" s="20">
        <f>IF(A197="","",SUMIF('Jobs'!$B$2:$B$501,A197,'Jobs'!$H$2:$H$501))</f>
        <v/>
      </c>
      <c r="I197" s="20">
        <f>IF(A197="","",SUMIFS('Jobs'!$H$2:$H$501,'Jobs'!$B$2:$B$501,A197,'Jobs'!$I$2:$I$501,"No"))</f>
        <v/>
      </c>
      <c r="J197" s="24">
        <f>IF(A197="","",IF(COUNTIF('Jobs'!$B$2:$B$501,A197)=0,"",SUMPRODUCT(MAX(('Jobs'!$B$2:$B$501=A197)*'Jobs'!$A$2:$A$501))))</f>
        <v/>
      </c>
    </row>
    <row r="198">
      <c r="G198" s="23">
        <f>IF(A198="","",COUNTIF('Jobs'!$B$2:$B$501,A198))</f>
        <v/>
      </c>
      <c r="H198" s="20">
        <f>IF(A198="","",SUMIF('Jobs'!$B$2:$B$501,A198,'Jobs'!$H$2:$H$501))</f>
        <v/>
      </c>
      <c r="I198" s="20">
        <f>IF(A198="","",SUMIFS('Jobs'!$H$2:$H$501,'Jobs'!$B$2:$B$501,A198,'Jobs'!$I$2:$I$501,"No"))</f>
        <v/>
      </c>
      <c r="J198" s="24">
        <f>IF(A198="","",IF(COUNTIF('Jobs'!$B$2:$B$501,A198)=0,"",SUMPRODUCT(MAX(('Jobs'!$B$2:$B$501=A198)*'Jobs'!$A$2:$A$501))))</f>
        <v/>
      </c>
    </row>
    <row r="199">
      <c r="G199" s="23">
        <f>IF(A199="","",COUNTIF('Jobs'!$B$2:$B$501,A199))</f>
        <v/>
      </c>
      <c r="H199" s="20">
        <f>IF(A199="","",SUMIF('Jobs'!$B$2:$B$501,A199,'Jobs'!$H$2:$H$501))</f>
        <v/>
      </c>
      <c r="I199" s="20">
        <f>IF(A199="","",SUMIFS('Jobs'!$H$2:$H$501,'Jobs'!$B$2:$B$501,A199,'Jobs'!$I$2:$I$501,"No"))</f>
        <v/>
      </c>
      <c r="J199" s="24">
        <f>IF(A199="","",IF(COUNTIF('Jobs'!$B$2:$B$501,A199)=0,"",SUMPRODUCT(MAX(('Jobs'!$B$2:$B$501=A199)*'Jobs'!$A$2:$A$501))))</f>
        <v/>
      </c>
    </row>
    <row r="200">
      <c r="G200" s="23">
        <f>IF(A200="","",COUNTIF('Jobs'!$B$2:$B$501,A200))</f>
        <v/>
      </c>
      <c r="H200" s="20">
        <f>IF(A200="","",SUMIF('Jobs'!$B$2:$B$501,A200,'Jobs'!$H$2:$H$501))</f>
        <v/>
      </c>
      <c r="I200" s="20">
        <f>IF(A200="","",SUMIFS('Jobs'!$H$2:$H$501,'Jobs'!$B$2:$B$501,A200,'Jobs'!$I$2:$I$501,"No"))</f>
        <v/>
      </c>
      <c r="J200" s="24">
        <f>IF(A200="","",IF(COUNTIF('Jobs'!$B$2:$B$501,A200)=0,"",SUMPRODUCT(MAX(('Jobs'!$B$2:$B$501=A200)*'Jobs'!$A$2:$A$501))))</f>
        <v/>
      </c>
    </row>
    <row r="201">
      <c r="G201" s="23">
        <f>IF(A201="","",COUNTIF('Jobs'!$B$2:$B$501,A201))</f>
        <v/>
      </c>
      <c r="H201" s="20">
        <f>IF(A201="","",SUMIF('Jobs'!$B$2:$B$501,A201,'Jobs'!$H$2:$H$501))</f>
        <v/>
      </c>
      <c r="I201" s="20">
        <f>IF(A201="","",SUMIFS('Jobs'!$H$2:$H$501,'Jobs'!$B$2:$B$501,A201,'Jobs'!$I$2:$I$501,"No"))</f>
        <v/>
      </c>
      <c r="J201" s="24">
        <f>IF(A201="","",IF(COUNTIF('Jobs'!$B$2:$B$501,A201)=0,"",SUMPRODUCT(MAX(('Jobs'!$B$2:$B$501=A201)*'Jobs'!$A$2:$A$501))))</f>
        <v/>
      </c>
    </row>
  </sheetData>
  <autoFilter ref="A1:K201"/>
  <dataValidations count="1">
    <dataValidation sqref="F2:F201" showDropDown="0" showInputMessage="0" showErrorMessage="1" allowBlank="1" errorTitle="Pick from the list" error="Pick a value from the list (edit the Lists sheet to change it)." type="list">
      <formula1>=Lists!$A$2:$A$31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7"/>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5" customWidth="1" min="7" max="7"/>
    <col width="3" customWidth="1" min="8" max="8"/>
    <col width="30" customWidth="1" min="9" max="9"/>
    <col width="14" customWidth="1" min="10" max="10"/>
    <col width="3" customWidth="1" min="11" max="11"/>
    <col width="24" customWidth="1" min="12" max="12"/>
    <col width="14" customWidth="1" min="13" max="13"/>
  </cols>
  <sheetData>
    <row r="1">
      <c r="A1" s="1" t="inlineStr">
        <is>
          <t>Monthly Summary</t>
        </is>
      </c>
    </row>
    <row r="2">
      <c r="A2" t="inlineStr">
        <is>
          <t>Totals for the tax year set on the Dashboard. Supplies count as costs.</t>
        </is>
      </c>
    </row>
    <row r="4">
      <c r="A4" s="6" t="inlineStr">
        <is>
          <t>Tax Year</t>
        </is>
      </c>
      <c r="B4" s="14">
        <f>Dashboard!$B$5</f>
        <v/>
      </c>
    </row>
    <row r="6">
      <c r="A6" s="10" t="inlineStr">
        <is>
          <t>Month</t>
        </is>
      </c>
      <c r="B6" s="10" t="inlineStr">
        <is>
          <t>Income</t>
        </is>
      </c>
      <c r="C6" s="10" t="inlineStr">
        <is>
          <t>Expenses</t>
        </is>
      </c>
      <c r="D6" s="10" t="inlineStr">
        <is>
          <t>Supplies</t>
        </is>
      </c>
      <c r="E6" s="10" t="inlineStr">
        <is>
          <t>Net Profit</t>
        </is>
      </c>
      <c r="F6" s="10" t="inlineStr">
        <is>
          <t>Mileage Deduction</t>
        </is>
      </c>
      <c r="G6" s="10" t="inlineStr">
        <is>
          <t>Profit After Mileage</t>
        </is>
      </c>
      <c r="I6" s="10" t="inlineStr">
        <is>
          <t>Costs by Category</t>
        </is>
      </c>
      <c r="J6" s="10" t="inlineStr">
        <is>
          <t>Amount</t>
        </is>
      </c>
      <c r="L6" s="10" t="inlineStr">
        <is>
          <t>Supplies by Category</t>
        </is>
      </c>
      <c r="M6" s="10" t="inlineStr">
        <is>
          <t>Amount</t>
        </is>
      </c>
    </row>
    <row r="7">
      <c r="A7" s="6" t="inlineStr">
        <is>
          <t>January</t>
        </is>
      </c>
      <c r="B7" s="11">
        <f>SUMIFS('Jobs'!$H$2:$H$501,'Jobs'!$A$2:$A$501,"&gt;="&amp;DATE(Dashboard!$B$5,1,1),'Jobs'!$A$2:$A$501,"&lt;"&amp;DATE(Dashboard!$B$5,2,1))</f>
        <v/>
      </c>
      <c r="C7" s="11">
        <f>SUMIFS('Expenses'!$F$2:$F$501,'Expenses'!$A$2:$A$501,"&gt;="&amp;DATE(Dashboard!$B$5,1,1),'Expenses'!$A$2:$A$501,"&lt;"&amp;DATE(Dashboard!$B$5,2,1))</f>
        <v/>
      </c>
      <c r="D7" s="11">
        <f>SUMIFS('Supplies'!$H$2:$H$501,'Supplies'!$A$2:$A$501,"&gt;="&amp;DATE(Dashboard!$B$5,1,1),'Supplies'!$A$2:$A$501,"&lt;"&amp;DATE(Dashboard!$B$5,2,1))</f>
        <v/>
      </c>
      <c r="E7" s="11">
        <f>B7-C7-D7</f>
        <v/>
      </c>
      <c r="F7" s="11">
        <f>SUMIFS('Mileage Log'!$H$2:$H$501,'Mileage Log'!$A$2:$A$501,"&gt;="&amp;DATE(Dashboard!$B$5,1,1),'Mileage Log'!$A$2:$A$501,"&lt;"&amp;DATE(Dashboard!$B$5,2,1))</f>
        <v/>
      </c>
      <c r="G7" s="11">
        <f>E7-F7</f>
        <v/>
      </c>
      <c r="I7" s="6" t="inlineStr">
        <is>
          <t>Supplies</t>
        </is>
      </c>
      <c r="J7" s="11">
        <f>D19</f>
        <v/>
      </c>
      <c r="L7" s="25">
        <f>IF(Lists!$D2="","",Lists!$D2)</f>
        <v/>
      </c>
      <c r="M7" s="11">
        <f>IF(L7="","",SUMIFS('Supplies'!$H$2:$H$501,'Supplies'!$D$2:$D$501,L7,'Supplies'!$A$2:$A$501,"&gt;="&amp;DATE(Dashboard!$B$5,1,1),'Supplies'!$A$2:$A$501,"&lt;"&amp;DATE(Dashboard!$B$5+1,1,1)))</f>
        <v/>
      </c>
    </row>
    <row r="8">
      <c r="A8" s="6" t="inlineStr">
        <is>
          <t>February</t>
        </is>
      </c>
      <c r="B8" s="11">
        <f>SUMIFS('Jobs'!$H$2:$H$501,'Jobs'!$A$2:$A$501,"&gt;="&amp;DATE(Dashboard!$B$5,2,1),'Jobs'!$A$2:$A$501,"&lt;"&amp;DATE(Dashboard!$B$5,3,1))</f>
        <v/>
      </c>
      <c r="C8" s="11">
        <f>SUMIFS('Expenses'!$F$2:$F$501,'Expenses'!$A$2:$A$501,"&gt;="&amp;DATE(Dashboard!$B$5,2,1),'Expenses'!$A$2:$A$501,"&lt;"&amp;DATE(Dashboard!$B$5,3,1))</f>
        <v/>
      </c>
      <c r="D8" s="11">
        <f>SUMIFS('Supplies'!$H$2:$H$501,'Supplies'!$A$2:$A$501,"&gt;="&amp;DATE(Dashboard!$B$5,2,1),'Supplies'!$A$2:$A$501,"&lt;"&amp;DATE(Dashboard!$B$5,3,1))</f>
        <v/>
      </c>
      <c r="E8" s="11">
        <f>B8-C8-D8</f>
        <v/>
      </c>
      <c r="F8" s="11">
        <f>SUMIFS('Mileage Log'!$H$2:$H$501,'Mileage Log'!$A$2:$A$501,"&gt;="&amp;DATE(Dashboard!$B$5,2,1),'Mileage Log'!$A$2:$A$501,"&lt;"&amp;DATE(Dashboard!$B$5,3,1))</f>
        <v/>
      </c>
      <c r="G8" s="11">
        <f>E8-F8</f>
        <v/>
      </c>
      <c r="I8" s="25">
        <f>IF(Lists!$C2="","",Lists!$C2)</f>
        <v/>
      </c>
      <c r="J8" s="11">
        <f>IF(I8="","",SUMIFS('Expenses'!$F$2:$F$501,'Expenses'!$C$2:$C$501,I8,'Expenses'!$A$2:$A$501,"&gt;="&amp;DATE(Dashboard!$B$5,1,1),'Expenses'!$A$2:$A$501,"&lt;"&amp;DATE(Dashboard!$B$5+1,1,1)))</f>
        <v/>
      </c>
      <c r="L8" s="25">
        <f>IF(Lists!$D3="","",Lists!$D3)</f>
        <v/>
      </c>
      <c r="M8" s="11">
        <f>IF(L8="","",SUMIFS('Supplies'!$H$2:$H$501,'Supplies'!$D$2:$D$501,L8,'Supplies'!$A$2:$A$501,"&gt;="&amp;DATE(Dashboard!$B$5,1,1),'Supplies'!$A$2:$A$501,"&lt;"&amp;DATE(Dashboard!$B$5+1,1,1)))</f>
        <v/>
      </c>
    </row>
    <row r="9">
      <c r="A9" s="6" t="inlineStr">
        <is>
          <t>March</t>
        </is>
      </c>
      <c r="B9" s="11">
        <f>SUMIFS('Jobs'!$H$2:$H$501,'Jobs'!$A$2:$A$501,"&gt;="&amp;DATE(Dashboard!$B$5,3,1),'Jobs'!$A$2:$A$501,"&lt;"&amp;DATE(Dashboard!$B$5,4,1))</f>
        <v/>
      </c>
      <c r="C9" s="11">
        <f>SUMIFS('Expenses'!$F$2:$F$501,'Expenses'!$A$2:$A$501,"&gt;="&amp;DATE(Dashboard!$B$5,3,1),'Expenses'!$A$2:$A$501,"&lt;"&amp;DATE(Dashboard!$B$5,4,1))</f>
        <v/>
      </c>
      <c r="D9" s="11">
        <f>SUMIFS('Supplies'!$H$2:$H$501,'Supplies'!$A$2:$A$501,"&gt;="&amp;DATE(Dashboard!$B$5,3,1),'Supplies'!$A$2:$A$501,"&lt;"&amp;DATE(Dashboard!$B$5,4,1))</f>
        <v/>
      </c>
      <c r="E9" s="11">
        <f>B9-C9-D9</f>
        <v/>
      </c>
      <c r="F9" s="11">
        <f>SUMIFS('Mileage Log'!$H$2:$H$501,'Mileage Log'!$A$2:$A$501,"&gt;="&amp;DATE(Dashboard!$B$5,3,1),'Mileage Log'!$A$2:$A$501,"&lt;"&amp;DATE(Dashboard!$B$5,4,1))</f>
        <v/>
      </c>
      <c r="G9" s="11">
        <f>E9-F9</f>
        <v/>
      </c>
      <c r="I9" s="25">
        <f>IF(Lists!$C3="","",Lists!$C3)</f>
        <v/>
      </c>
      <c r="J9" s="11">
        <f>IF(I9="","",SUMIFS('Expenses'!$F$2:$F$501,'Expenses'!$C$2:$C$501,I9,'Expenses'!$A$2:$A$501,"&gt;="&amp;DATE(Dashboard!$B$5,1,1),'Expenses'!$A$2:$A$501,"&lt;"&amp;DATE(Dashboard!$B$5+1,1,1)))</f>
        <v/>
      </c>
      <c r="L9" s="25">
        <f>IF(Lists!$D4="","",Lists!$D4)</f>
        <v/>
      </c>
      <c r="M9" s="11">
        <f>IF(L9="","",SUMIFS('Supplies'!$H$2:$H$501,'Supplies'!$D$2:$D$501,L9,'Supplies'!$A$2:$A$501,"&gt;="&amp;DATE(Dashboard!$B$5,1,1),'Supplies'!$A$2:$A$501,"&lt;"&amp;DATE(Dashboard!$B$5+1,1,1)))</f>
        <v/>
      </c>
    </row>
    <row r="10">
      <c r="A10" s="6" t="inlineStr">
        <is>
          <t>April</t>
        </is>
      </c>
      <c r="B10" s="11">
        <f>SUMIFS('Jobs'!$H$2:$H$501,'Jobs'!$A$2:$A$501,"&gt;="&amp;DATE(Dashboard!$B$5,4,1),'Jobs'!$A$2:$A$501,"&lt;"&amp;DATE(Dashboard!$B$5,5,1))</f>
        <v/>
      </c>
      <c r="C10" s="11">
        <f>SUMIFS('Expenses'!$F$2:$F$501,'Expenses'!$A$2:$A$501,"&gt;="&amp;DATE(Dashboard!$B$5,4,1),'Expenses'!$A$2:$A$501,"&lt;"&amp;DATE(Dashboard!$B$5,5,1))</f>
        <v/>
      </c>
      <c r="D10" s="11">
        <f>SUMIFS('Supplies'!$H$2:$H$501,'Supplies'!$A$2:$A$501,"&gt;="&amp;DATE(Dashboard!$B$5,4,1),'Supplies'!$A$2:$A$501,"&lt;"&amp;DATE(Dashboard!$B$5,5,1))</f>
        <v/>
      </c>
      <c r="E10" s="11">
        <f>B10-C10-D10</f>
        <v/>
      </c>
      <c r="F10" s="11">
        <f>SUMIFS('Mileage Log'!$H$2:$H$501,'Mileage Log'!$A$2:$A$501,"&gt;="&amp;DATE(Dashboard!$B$5,4,1),'Mileage Log'!$A$2:$A$501,"&lt;"&amp;DATE(Dashboard!$B$5,5,1))</f>
        <v/>
      </c>
      <c r="G10" s="11">
        <f>E10-F10</f>
        <v/>
      </c>
      <c r="I10" s="25">
        <f>IF(Lists!$C4="","",Lists!$C4)</f>
        <v/>
      </c>
      <c r="J10" s="11">
        <f>IF(I10="","",SUMIFS('Expenses'!$F$2:$F$501,'Expenses'!$C$2:$C$501,I10,'Expenses'!$A$2:$A$501,"&gt;="&amp;DATE(Dashboard!$B$5,1,1),'Expenses'!$A$2:$A$501,"&lt;"&amp;DATE(Dashboard!$B$5+1,1,1)))</f>
        <v/>
      </c>
      <c r="L10" s="25">
        <f>IF(Lists!$D5="","",Lists!$D5)</f>
        <v/>
      </c>
      <c r="M10" s="11">
        <f>IF(L10="","",SUMIFS('Supplies'!$H$2:$H$501,'Supplies'!$D$2:$D$501,L10,'Supplies'!$A$2:$A$501,"&gt;="&amp;DATE(Dashboard!$B$5,1,1),'Supplies'!$A$2:$A$501,"&lt;"&amp;DATE(Dashboard!$B$5+1,1,1)))</f>
        <v/>
      </c>
    </row>
    <row r="11">
      <c r="A11" s="6" t="inlineStr">
        <is>
          <t>May</t>
        </is>
      </c>
      <c r="B11" s="11">
        <f>SUMIFS('Jobs'!$H$2:$H$501,'Jobs'!$A$2:$A$501,"&gt;="&amp;DATE(Dashboard!$B$5,5,1),'Jobs'!$A$2:$A$501,"&lt;"&amp;DATE(Dashboard!$B$5,6,1))</f>
        <v/>
      </c>
      <c r="C11" s="11">
        <f>SUMIFS('Expenses'!$F$2:$F$501,'Expenses'!$A$2:$A$501,"&gt;="&amp;DATE(Dashboard!$B$5,5,1),'Expenses'!$A$2:$A$501,"&lt;"&amp;DATE(Dashboard!$B$5,6,1))</f>
        <v/>
      </c>
      <c r="D11" s="11">
        <f>SUMIFS('Supplies'!$H$2:$H$501,'Supplies'!$A$2:$A$501,"&gt;="&amp;DATE(Dashboard!$B$5,5,1),'Supplies'!$A$2:$A$501,"&lt;"&amp;DATE(Dashboard!$B$5,6,1))</f>
        <v/>
      </c>
      <c r="E11" s="11">
        <f>B11-C11-D11</f>
        <v/>
      </c>
      <c r="F11" s="11">
        <f>SUMIFS('Mileage Log'!$H$2:$H$501,'Mileage Log'!$A$2:$A$501,"&gt;="&amp;DATE(Dashboard!$B$5,5,1),'Mileage Log'!$A$2:$A$501,"&lt;"&amp;DATE(Dashboard!$B$5,6,1))</f>
        <v/>
      </c>
      <c r="G11" s="11">
        <f>E11-F11</f>
        <v/>
      </c>
      <c r="I11" s="25">
        <f>IF(Lists!$C5="","",Lists!$C5)</f>
        <v/>
      </c>
      <c r="J11" s="11">
        <f>IF(I11="","",SUMIFS('Expenses'!$F$2:$F$501,'Expenses'!$C$2:$C$501,I11,'Expenses'!$A$2:$A$501,"&gt;="&amp;DATE(Dashboard!$B$5,1,1),'Expenses'!$A$2:$A$501,"&lt;"&amp;DATE(Dashboard!$B$5+1,1,1)))</f>
        <v/>
      </c>
      <c r="L11" s="25">
        <f>IF(Lists!$D6="","",Lists!$D6)</f>
        <v/>
      </c>
      <c r="M11" s="11">
        <f>IF(L11="","",SUMIFS('Supplies'!$H$2:$H$501,'Supplies'!$D$2:$D$501,L11,'Supplies'!$A$2:$A$501,"&gt;="&amp;DATE(Dashboard!$B$5,1,1),'Supplies'!$A$2:$A$501,"&lt;"&amp;DATE(Dashboard!$B$5+1,1,1)))</f>
        <v/>
      </c>
    </row>
    <row r="12">
      <c r="A12" s="6" t="inlineStr">
        <is>
          <t>June</t>
        </is>
      </c>
      <c r="B12" s="11">
        <f>SUMIFS('Jobs'!$H$2:$H$501,'Jobs'!$A$2:$A$501,"&gt;="&amp;DATE(Dashboard!$B$5,6,1),'Jobs'!$A$2:$A$501,"&lt;"&amp;DATE(Dashboard!$B$5,7,1))</f>
        <v/>
      </c>
      <c r="C12" s="11">
        <f>SUMIFS('Expenses'!$F$2:$F$501,'Expenses'!$A$2:$A$501,"&gt;="&amp;DATE(Dashboard!$B$5,6,1),'Expenses'!$A$2:$A$501,"&lt;"&amp;DATE(Dashboard!$B$5,7,1))</f>
        <v/>
      </c>
      <c r="D12" s="11">
        <f>SUMIFS('Supplies'!$H$2:$H$501,'Supplies'!$A$2:$A$501,"&gt;="&amp;DATE(Dashboard!$B$5,6,1),'Supplies'!$A$2:$A$501,"&lt;"&amp;DATE(Dashboard!$B$5,7,1))</f>
        <v/>
      </c>
      <c r="E12" s="11">
        <f>B12-C12-D12</f>
        <v/>
      </c>
      <c r="F12" s="11">
        <f>SUMIFS('Mileage Log'!$H$2:$H$501,'Mileage Log'!$A$2:$A$501,"&gt;="&amp;DATE(Dashboard!$B$5,6,1),'Mileage Log'!$A$2:$A$501,"&lt;"&amp;DATE(Dashboard!$B$5,7,1))</f>
        <v/>
      </c>
      <c r="G12" s="11">
        <f>E12-F12</f>
        <v/>
      </c>
      <c r="I12" s="25">
        <f>IF(Lists!$C6="","",Lists!$C6)</f>
        <v/>
      </c>
      <c r="J12" s="11">
        <f>IF(I12="","",SUMIFS('Expenses'!$F$2:$F$501,'Expenses'!$C$2:$C$501,I12,'Expenses'!$A$2:$A$501,"&gt;="&amp;DATE(Dashboard!$B$5,1,1),'Expenses'!$A$2:$A$501,"&lt;"&amp;DATE(Dashboard!$B$5+1,1,1)))</f>
        <v/>
      </c>
      <c r="L12" s="25">
        <f>IF(Lists!$D7="","",Lists!$D7)</f>
        <v/>
      </c>
      <c r="M12" s="11">
        <f>IF(L12="","",SUMIFS('Supplies'!$H$2:$H$501,'Supplies'!$D$2:$D$501,L12,'Supplies'!$A$2:$A$501,"&gt;="&amp;DATE(Dashboard!$B$5,1,1),'Supplies'!$A$2:$A$501,"&lt;"&amp;DATE(Dashboard!$B$5+1,1,1)))</f>
        <v/>
      </c>
    </row>
    <row r="13">
      <c r="A13" s="6" t="inlineStr">
        <is>
          <t>July</t>
        </is>
      </c>
      <c r="B13" s="11">
        <f>SUMIFS('Jobs'!$H$2:$H$501,'Jobs'!$A$2:$A$501,"&gt;="&amp;DATE(Dashboard!$B$5,7,1),'Jobs'!$A$2:$A$501,"&lt;"&amp;DATE(Dashboard!$B$5,8,1))</f>
        <v/>
      </c>
      <c r="C13" s="11">
        <f>SUMIFS('Expenses'!$F$2:$F$501,'Expenses'!$A$2:$A$501,"&gt;="&amp;DATE(Dashboard!$B$5,7,1),'Expenses'!$A$2:$A$501,"&lt;"&amp;DATE(Dashboard!$B$5,8,1))</f>
        <v/>
      </c>
      <c r="D13" s="11">
        <f>SUMIFS('Supplies'!$H$2:$H$501,'Supplies'!$A$2:$A$501,"&gt;="&amp;DATE(Dashboard!$B$5,7,1),'Supplies'!$A$2:$A$501,"&lt;"&amp;DATE(Dashboard!$B$5,8,1))</f>
        <v/>
      </c>
      <c r="E13" s="11">
        <f>B13-C13-D13</f>
        <v/>
      </c>
      <c r="F13" s="11">
        <f>SUMIFS('Mileage Log'!$H$2:$H$501,'Mileage Log'!$A$2:$A$501,"&gt;="&amp;DATE(Dashboard!$B$5,7,1),'Mileage Log'!$A$2:$A$501,"&lt;"&amp;DATE(Dashboard!$B$5,8,1))</f>
        <v/>
      </c>
      <c r="G13" s="11">
        <f>E13-F13</f>
        <v/>
      </c>
      <c r="I13" s="25">
        <f>IF(Lists!$C7="","",Lists!$C7)</f>
        <v/>
      </c>
      <c r="J13" s="11">
        <f>IF(I13="","",SUMIFS('Expenses'!$F$2:$F$501,'Expenses'!$C$2:$C$501,I13,'Expenses'!$A$2:$A$501,"&gt;="&amp;DATE(Dashboard!$B$5,1,1),'Expenses'!$A$2:$A$501,"&lt;"&amp;DATE(Dashboard!$B$5+1,1,1)))</f>
        <v/>
      </c>
      <c r="L13" s="25">
        <f>IF(Lists!$D8="","",Lists!$D8)</f>
        <v/>
      </c>
      <c r="M13" s="11">
        <f>IF(L13="","",SUMIFS('Supplies'!$H$2:$H$501,'Supplies'!$D$2:$D$501,L13,'Supplies'!$A$2:$A$501,"&gt;="&amp;DATE(Dashboard!$B$5,1,1),'Supplies'!$A$2:$A$501,"&lt;"&amp;DATE(Dashboard!$B$5+1,1,1)))</f>
        <v/>
      </c>
    </row>
    <row r="14">
      <c r="A14" s="6" t="inlineStr">
        <is>
          <t>August</t>
        </is>
      </c>
      <c r="B14" s="11">
        <f>SUMIFS('Jobs'!$H$2:$H$501,'Jobs'!$A$2:$A$501,"&gt;="&amp;DATE(Dashboard!$B$5,8,1),'Jobs'!$A$2:$A$501,"&lt;"&amp;DATE(Dashboard!$B$5,9,1))</f>
        <v/>
      </c>
      <c r="C14" s="11">
        <f>SUMIFS('Expenses'!$F$2:$F$501,'Expenses'!$A$2:$A$501,"&gt;="&amp;DATE(Dashboard!$B$5,8,1),'Expenses'!$A$2:$A$501,"&lt;"&amp;DATE(Dashboard!$B$5,9,1))</f>
        <v/>
      </c>
      <c r="D14" s="11">
        <f>SUMIFS('Supplies'!$H$2:$H$501,'Supplies'!$A$2:$A$501,"&gt;="&amp;DATE(Dashboard!$B$5,8,1),'Supplies'!$A$2:$A$501,"&lt;"&amp;DATE(Dashboard!$B$5,9,1))</f>
        <v/>
      </c>
      <c r="E14" s="11">
        <f>B14-C14-D14</f>
        <v/>
      </c>
      <c r="F14" s="11">
        <f>SUMIFS('Mileage Log'!$H$2:$H$501,'Mileage Log'!$A$2:$A$501,"&gt;="&amp;DATE(Dashboard!$B$5,8,1),'Mileage Log'!$A$2:$A$501,"&lt;"&amp;DATE(Dashboard!$B$5,9,1))</f>
        <v/>
      </c>
      <c r="G14" s="11">
        <f>E14-F14</f>
        <v/>
      </c>
      <c r="I14" s="25">
        <f>IF(Lists!$C8="","",Lists!$C8)</f>
        <v/>
      </c>
      <c r="J14" s="11">
        <f>IF(I14="","",SUMIFS('Expenses'!$F$2:$F$501,'Expenses'!$C$2:$C$501,I14,'Expenses'!$A$2:$A$501,"&gt;="&amp;DATE(Dashboard!$B$5,1,1),'Expenses'!$A$2:$A$501,"&lt;"&amp;DATE(Dashboard!$B$5+1,1,1)))</f>
        <v/>
      </c>
      <c r="L14" s="25">
        <f>IF(Lists!$D9="","",Lists!$D9)</f>
        <v/>
      </c>
      <c r="M14" s="11">
        <f>IF(L14="","",SUMIFS('Supplies'!$H$2:$H$501,'Supplies'!$D$2:$D$501,L14,'Supplies'!$A$2:$A$501,"&gt;="&amp;DATE(Dashboard!$B$5,1,1),'Supplies'!$A$2:$A$501,"&lt;"&amp;DATE(Dashboard!$B$5+1,1,1)))</f>
        <v/>
      </c>
    </row>
    <row r="15">
      <c r="A15" s="6" t="inlineStr">
        <is>
          <t>September</t>
        </is>
      </c>
      <c r="B15" s="11">
        <f>SUMIFS('Jobs'!$H$2:$H$501,'Jobs'!$A$2:$A$501,"&gt;="&amp;DATE(Dashboard!$B$5,9,1),'Jobs'!$A$2:$A$501,"&lt;"&amp;DATE(Dashboard!$B$5,10,1))</f>
        <v/>
      </c>
      <c r="C15" s="11">
        <f>SUMIFS('Expenses'!$F$2:$F$501,'Expenses'!$A$2:$A$501,"&gt;="&amp;DATE(Dashboard!$B$5,9,1),'Expenses'!$A$2:$A$501,"&lt;"&amp;DATE(Dashboard!$B$5,10,1))</f>
        <v/>
      </c>
      <c r="D15" s="11">
        <f>SUMIFS('Supplies'!$H$2:$H$501,'Supplies'!$A$2:$A$501,"&gt;="&amp;DATE(Dashboard!$B$5,9,1),'Supplies'!$A$2:$A$501,"&lt;"&amp;DATE(Dashboard!$B$5,10,1))</f>
        <v/>
      </c>
      <c r="E15" s="11">
        <f>B15-C15-D15</f>
        <v/>
      </c>
      <c r="F15" s="11">
        <f>SUMIFS('Mileage Log'!$H$2:$H$501,'Mileage Log'!$A$2:$A$501,"&gt;="&amp;DATE(Dashboard!$B$5,9,1),'Mileage Log'!$A$2:$A$501,"&lt;"&amp;DATE(Dashboard!$B$5,10,1))</f>
        <v/>
      </c>
      <c r="G15" s="11">
        <f>E15-F15</f>
        <v/>
      </c>
      <c r="I15" s="25">
        <f>IF(Lists!$C9="","",Lists!$C9)</f>
        <v/>
      </c>
      <c r="J15" s="11">
        <f>IF(I15="","",SUMIFS('Expenses'!$F$2:$F$501,'Expenses'!$C$2:$C$501,I15,'Expenses'!$A$2:$A$501,"&gt;="&amp;DATE(Dashboard!$B$5,1,1),'Expenses'!$A$2:$A$501,"&lt;"&amp;DATE(Dashboard!$B$5+1,1,1)))</f>
        <v/>
      </c>
      <c r="L15" s="25">
        <f>IF(Lists!$D10="","",Lists!$D10)</f>
        <v/>
      </c>
      <c r="M15" s="11">
        <f>IF(L15="","",SUMIFS('Supplies'!$H$2:$H$501,'Supplies'!$D$2:$D$501,L15,'Supplies'!$A$2:$A$501,"&gt;="&amp;DATE(Dashboard!$B$5,1,1),'Supplies'!$A$2:$A$501,"&lt;"&amp;DATE(Dashboard!$B$5+1,1,1)))</f>
        <v/>
      </c>
    </row>
    <row r="16">
      <c r="A16" s="6" t="inlineStr">
        <is>
          <t>October</t>
        </is>
      </c>
      <c r="B16" s="11">
        <f>SUMIFS('Jobs'!$H$2:$H$501,'Jobs'!$A$2:$A$501,"&gt;="&amp;DATE(Dashboard!$B$5,10,1),'Jobs'!$A$2:$A$501,"&lt;"&amp;DATE(Dashboard!$B$5,11,1))</f>
        <v/>
      </c>
      <c r="C16" s="11">
        <f>SUMIFS('Expenses'!$F$2:$F$501,'Expenses'!$A$2:$A$501,"&gt;="&amp;DATE(Dashboard!$B$5,10,1),'Expenses'!$A$2:$A$501,"&lt;"&amp;DATE(Dashboard!$B$5,11,1))</f>
        <v/>
      </c>
      <c r="D16" s="11">
        <f>SUMIFS('Supplies'!$H$2:$H$501,'Supplies'!$A$2:$A$501,"&gt;="&amp;DATE(Dashboard!$B$5,10,1),'Supplies'!$A$2:$A$501,"&lt;"&amp;DATE(Dashboard!$B$5,11,1))</f>
        <v/>
      </c>
      <c r="E16" s="11">
        <f>B16-C16-D16</f>
        <v/>
      </c>
      <c r="F16" s="11">
        <f>SUMIFS('Mileage Log'!$H$2:$H$501,'Mileage Log'!$A$2:$A$501,"&gt;="&amp;DATE(Dashboard!$B$5,10,1),'Mileage Log'!$A$2:$A$501,"&lt;"&amp;DATE(Dashboard!$B$5,11,1))</f>
        <v/>
      </c>
      <c r="G16" s="11">
        <f>E16-F16</f>
        <v/>
      </c>
      <c r="I16" s="25">
        <f>IF(Lists!$C10="","",Lists!$C10)</f>
        <v/>
      </c>
      <c r="J16" s="11">
        <f>IF(I16="","",SUMIFS('Expenses'!$F$2:$F$501,'Expenses'!$C$2:$C$501,I16,'Expenses'!$A$2:$A$501,"&gt;="&amp;DATE(Dashboard!$B$5,1,1),'Expenses'!$A$2:$A$501,"&lt;"&amp;DATE(Dashboard!$B$5+1,1,1)))</f>
        <v/>
      </c>
      <c r="L16" s="25">
        <f>IF(Lists!$D11="","",Lists!$D11)</f>
        <v/>
      </c>
      <c r="M16" s="11">
        <f>IF(L16="","",SUMIFS('Supplies'!$H$2:$H$501,'Supplies'!$D$2:$D$501,L16,'Supplies'!$A$2:$A$501,"&gt;="&amp;DATE(Dashboard!$B$5,1,1),'Supplies'!$A$2:$A$501,"&lt;"&amp;DATE(Dashboard!$B$5+1,1,1)))</f>
        <v/>
      </c>
    </row>
    <row r="17">
      <c r="A17" s="6" t="inlineStr">
        <is>
          <t>November</t>
        </is>
      </c>
      <c r="B17" s="11">
        <f>SUMIFS('Jobs'!$H$2:$H$501,'Jobs'!$A$2:$A$501,"&gt;="&amp;DATE(Dashboard!$B$5,11,1),'Jobs'!$A$2:$A$501,"&lt;"&amp;DATE(Dashboard!$B$5,12,1))</f>
        <v/>
      </c>
      <c r="C17" s="11">
        <f>SUMIFS('Expenses'!$F$2:$F$501,'Expenses'!$A$2:$A$501,"&gt;="&amp;DATE(Dashboard!$B$5,11,1),'Expenses'!$A$2:$A$501,"&lt;"&amp;DATE(Dashboard!$B$5,12,1))</f>
        <v/>
      </c>
      <c r="D17" s="11">
        <f>SUMIFS('Supplies'!$H$2:$H$501,'Supplies'!$A$2:$A$501,"&gt;="&amp;DATE(Dashboard!$B$5,11,1),'Supplies'!$A$2:$A$501,"&lt;"&amp;DATE(Dashboard!$B$5,12,1))</f>
        <v/>
      </c>
      <c r="E17" s="11">
        <f>B17-C17-D17</f>
        <v/>
      </c>
      <c r="F17" s="11">
        <f>SUMIFS('Mileage Log'!$H$2:$H$501,'Mileage Log'!$A$2:$A$501,"&gt;="&amp;DATE(Dashboard!$B$5,11,1),'Mileage Log'!$A$2:$A$501,"&lt;"&amp;DATE(Dashboard!$B$5,12,1))</f>
        <v/>
      </c>
      <c r="G17" s="11">
        <f>E17-F17</f>
        <v/>
      </c>
      <c r="I17" s="25">
        <f>IF(Lists!$C11="","",Lists!$C11)</f>
        <v/>
      </c>
      <c r="J17" s="11">
        <f>IF(I17="","",SUMIFS('Expenses'!$F$2:$F$501,'Expenses'!$C$2:$C$501,I17,'Expenses'!$A$2:$A$501,"&gt;="&amp;DATE(Dashboard!$B$5,1,1),'Expenses'!$A$2:$A$501,"&lt;"&amp;DATE(Dashboard!$B$5+1,1,1)))</f>
        <v/>
      </c>
      <c r="L17" s="25">
        <f>IF(Lists!$D12="","",Lists!$D12)</f>
        <v/>
      </c>
      <c r="M17" s="11">
        <f>IF(L17="","",SUMIFS('Supplies'!$H$2:$H$501,'Supplies'!$D$2:$D$501,L17,'Supplies'!$A$2:$A$501,"&gt;="&amp;DATE(Dashboard!$B$5,1,1),'Supplies'!$A$2:$A$501,"&lt;"&amp;DATE(Dashboard!$B$5+1,1,1)))</f>
        <v/>
      </c>
    </row>
    <row r="18">
      <c r="A18" s="6" t="inlineStr">
        <is>
          <t>December</t>
        </is>
      </c>
      <c r="B18" s="11">
        <f>SUMIFS('Jobs'!$H$2:$H$501,'Jobs'!$A$2:$A$501,"&gt;="&amp;DATE(Dashboard!$B$5,12,1),'Jobs'!$A$2:$A$501,"&lt;"&amp;DATE(Dashboard!$B$5,13,1))</f>
        <v/>
      </c>
      <c r="C18" s="11">
        <f>SUMIFS('Expenses'!$F$2:$F$501,'Expenses'!$A$2:$A$501,"&gt;="&amp;DATE(Dashboard!$B$5,12,1),'Expenses'!$A$2:$A$501,"&lt;"&amp;DATE(Dashboard!$B$5,13,1))</f>
        <v/>
      </c>
      <c r="D18" s="11">
        <f>SUMIFS('Supplies'!$H$2:$H$501,'Supplies'!$A$2:$A$501,"&gt;="&amp;DATE(Dashboard!$B$5,12,1),'Supplies'!$A$2:$A$501,"&lt;"&amp;DATE(Dashboard!$B$5,13,1))</f>
        <v/>
      </c>
      <c r="E18" s="11">
        <f>B18-C18-D18</f>
        <v/>
      </c>
      <c r="F18" s="11">
        <f>SUMIFS('Mileage Log'!$H$2:$H$501,'Mileage Log'!$A$2:$A$501,"&gt;="&amp;DATE(Dashboard!$B$5,12,1),'Mileage Log'!$A$2:$A$501,"&lt;"&amp;DATE(Dashboard!$B$5,13,1))</f>
        <v/>
      </c>
      <c r="G18" s="11">
        <f>E18-F18</f>
        <v/>
      </c>
      <c r="I18" s="25">
        <f>IF(Lists!$C12="","",Lists!$C12)</f>
        <v/>
      </c>
      <c r="J18" s="11">
        <f>IF(I18="","",SUMIFS('Expenses'!$F$2:$F$501,'Expenses'!$C$2:$C$501,I18,'Expenses'!$A$2:$A$501,"&gt;="&amp;DATE(Dashboard!$B$5,1,1),'Expenses'!$A$2:$A$501,"&lt;"&amp;DATE(Dashboard!$B$5+1,1,1)))</f>
        <v/>
      </c>
      <c r="L18" s="25">
        <f>IF(Lists!$D13="","",Lists!$D13)</f>
        <v/>
      </c>
      <c r="M18" s="11">
        <f>IF(L18="","",SUMIFS('Supplies'!$H$2:$H$501,'Supplies'!$D$2:$D$501,L18,'Supplies'!$A$2:$A$501,"&gt;="&amp;DATE(Dashboard!$B$5,1,1),'Supplies'!$A$2:$A$501,"&lt;"&amp;DATE(Dashboard!$B$5+1,1,1)))</f>
        <v/>
      </c>
    </row>
    <row r="19">
      <c r="A19" s="6" t="inlineStr">
        <is>
          <t>Total</t>
        </is>
      </c>
      <c r="B19" s="26">
        <f>SUM(B7:B18)</f>
        <v/>
      </c>
      <c r="C19" s="26">
        <f>SUM(C7:C18)</f>
        <v/>
      </c>
      <c r="D19" s="26">
        <f>SUM(D7:D18)</f>
        <v/>
      </c>
      <c r="E19" s="26">
        <f>SUM(E7:E18)</f>
        <v/>
      </c>
      <c r="F19" s="26">
        <f>SUM(F7:F18)</f>
        <v/>
      </c>
      <c r="G19" s="26">
        <f>SUM(G7:G18)</f>
        <v/>
      </c>
      <c r="I19" s="25">
        <f>IF(Lists!$C13="","",Lists!$C13)</f>
        <v/>
      </c>
      <c r="J19" s="11">
        <f>IF(I19="","",SUMIFS('Expenses'!$F$2:$F$501,'Expenses'!$C$2:$C$501,I19,'Expenses'!$A$2:$A$501,"&gt;="&amp;DATE(Dashboard!$B$5,1,1),'Expenses'!$A$2:$A$501,"&lt;"&amp;DATE(Dashboard!$B$5+1,1,1)))</f>
        <v/>
      </c>
      <c r="L19" s="25">
        <f>IF(Lists!$D14="","",Lists!$D14)</f>
        <v/>
      </c>
      <c r="M19" s="11">
        <f>IF(L19="","",SUMIFS('Supplies'!$H$2:$H$501,'Supplies'!$D$2:$D$501,L19,'Supplies'!$A$2:$A$501,"&gt;="&amp;DATE(Dashboard!$B$5,1,1),'Supplies'!$A$2:$A$501,"&lt;"&amp;DATE(Dashboard!$B$5+1,1,1)))</f>
        <v/>
      </c>
    </row>
    <row r="20">
      <c r="I20" s="25">
        <f>IF(Lists!$C14="","",Lists!$C14)</f>
        <v/>
      </c>
      <c r="J20" s="11">
        <f>IF(I20="","",SUMIFS('Expenses'!$F$2:$F$501,'Expenses'!$C$2:$C$501,I20,'Expenses'!$A$2:$A$501,"&gt;="&amp;DATE(Dashboard!$B$5,1,1),'Expenses'!$A$2:$A$501,"&lt;"&amp;DATE(Dashboard!$B$5+1,1,1)))</f>
        <v/>
      </c>
      <c r="L20" s="25">
        <f>IF(Lists!$D15="","",Lists!$D15)</f>
        <v/>
      </c>
      <c r="M20" s="11">
        <f>IF(L20="","",SUMIFS('Supplies'!$H$2:$H$501,'Supplies'!$D$2:$D$501,L20,'Supplies'!$A$2:$A$501,"&gt;="&amp;DATE(Dashboard!$B$5,1,1),'Supplies'!$A$2:$A$501,"&lt;"&amp;DATE(Dashboard!$B$5+1,1,1)))</f>
        <v/>
      </c>
    </row>
    <row r="21">
      <c r="I21" s="25">
        <f>IF(Lists!$C15="","",Lists!$C15)</f>
        <v/>
      </c>
      <c r="J21" s="11">
        <f>IF(I21="","",SUMIFS('Expenses'!$F$2:$F$501,'Expenses'!$C$2:$C$501,I21,'Expenses'!$A$2:$A$501,"&gt;="&amp;DATE(Dashboard!$B$5,1,1),'Expenses'!$A$2:$A$501,"&lt;"&amp;DATE(Dashboard!$B$5+1,1,1)))</f>
        <v/>
      </c>
      <c r="L21" s="25">
        <f>IF(Lists!$D16="","",Lists!$D16)</f>
        <v/>
      </c>
      <c r="M21" s="11">
        <f>IF(L21="","",SUMIFS('Supplies'!$H$2:$H$501,'Supplies'!$D$2:$D$501,L21,'Supplies'!$A$2:$A$501,"&gt;="&amp;DATE(Dashboard!$B$5,1,1),'Supplies'!$A$2:$A$501,"&lt;"&amp;DATE(Dashboard!$B$5+1,1,1)))</f>
        <v/>
      </c>
    </row>
    <row r="22">
      <c r="I22" s="25">
        <f>IF(Lists!$C16="","",Lists!$C16)</f>
        <v/>
      </c>
      <c r="J22" s="11">
        <f>IF(I22="","",SUMIFS('Expenses'!$F$2:$F$501,'Expenses'!$C$2:$C$501,I22,'Expenses'!$A$2:$A$501,"&gt;="&amp;DATE(Dashboard!$B$5,1,1),'Expenses'!$A$2:$A$501,"&lt;"&amp;DATE(Dashboard!$B$5+1,1,1)))</f>
        <v/>
      </c>
      <c r="L22" s="25">
        <f>IF(Lists!$D17="","",Lists!$D17)</f>
        <v/>
      </c>
      <c r="M22" s="11">
        <f>IF(L22="","",SUMIFS('Supplies'!$H$2:$H$501,'Supplies'!$D$2:$D$501,L22,'Supplies'!$A$2:$A$501,"&gt;="&amp;DATE(Dashboard!$B$5,1,1),'Supplies'!$A$2:$A$501,"&lt;"&amp;DATE(Dashboard!$B$5+1,1,1)))</f>
        <v/>
      </c>
    </row>
    <row r="23">
      <c r="I23" s="25">
        <f>IF(Lists!$C17="","",Lists!$C17)</f>
        <v/>
      </c>
      <c r="J23" s="11">
        <f>IF(I23="","",SUMIFS('Expenses'!$F$2:$F$501,'Expenses'!$C$2:$C$501,I23,'Expenses'!$A$2:$A$501,"&gt;="&amp;DATE(Dashboard!$B$5,1,1),'Expenses'!$A$2:$A$501,"&lt;"&amp;DATE(Dashboard!$B$5+1,1,1)))</f>
        <v/>
      </c>
      <c r="L23" s="25">
        <f>IF(Lists!$D18="","",Lists!$D18)</f>
        <v/>
      </c>
      <c r="M23" s="11">
        <f>IF(L23="","",SUMIFS('Supplies'!$H$2:$H$501,'Supplies'!$D$2:$D$501,L23,'Supplies'!$A$2:$A$501,"&gt;="&amp;DATE(Dashboard!$B$5,1,1),'Supplies'!$A$2:$A$501,"&lt;"&amp;DATE(Dashboard!$B$5+1,1,1)))</f>
        <v/>
      </c>
    </row>
    <row r="24">
      <c r="I24" s="25">
        <f>IF(Lists!$C18="","",Lists!$C18)</f>
        <v/>
      </c>
      <c r="J24" s="11">
        <f>IF(I24="","",SUMIFS('Expenses'!$F$2:$F$501,'Expenses'!$C$2:$C$501,I24,'Expenses'!$A$2:$A$501,"&gt;="&amp;DATE(Dashboard!$B$5,1,1),'Expenses'!$A$2:$A$501,"&lt;"&amp;DATE(Dashboard!$B$5+1,1,1)))</f>
        <v/>
      </c>
      <c r="L24" s="25">
        <f>IF(Lists!$D19="","",Lists!$D19)</f>
        <v/>
      </c>
      <c r="M24" s="11">
        <f>IF(L24="","",SUMIFS('Supplies'!$H$2:$H$501,'Supplies'!$D$2:$D$501,L24,'Supplies'!$A$2:$A$501,"&gt;="&amp;DATE(Dashboard!$B$5,1,1),'Supplies'!$A$2:$A$501,"&lt;"&amp;DATE(Dashboard!$B$5+1,1,1)))</f>
        <v/>
      </c>
    </row>
    <row r="25">
      <c r="I25" s="25">
        <f>IF(Lists!$C19="","",Lists!$C19)</f>
        <v/>
      </c>
      <c r="J25" s="11">
        <f>IF(I25="","",SUMIFS('Expenses'!$F$2:$F$501,'Expenses'!$C$2:$C$501,I25,'Expenses'!$A$2:$A$501,"&gt;="&amp;DATE(Dashboard!$B$5,1,1),'Expenses'!$A$2:$A$501,"&lt;"&amp;DATE(Dashboard!$B$5+1,1,1)))</f>
        <v/>
      </c>
      <c r="L25" s="25">
        <f>IF(Lists!$D20="","",Lists!$D20)</f>
        <v/>
      </c>
      <c r="M25" s="11">
        <f>IF(L25="","",SUMIFS('Supplies'!$H$2:$H$501,'Supplies'!$D$2:$D$501,L25,'Supplies'!$A$2:$A$501,"&gt;="&amp;DATE(Dashboard!$B$5,1,1),'Supplies'!$A$2:$A$501,"&lt;"&amp;DATE(Dashboard!$B$5+1,1,1)))</f>
        <v/>
      </c>
    </row>
    <row r="26">
      <c r="I26" s="25">
        <f>IF(Lists!$C20="","",Lists!$C20)</f>
        <v/>
      </c>
      <c r="J26" s="11">
        <f>IF(I26="","",SUMIFS('Expenses'!$F$2:$F$501,'Expenses'!$C$2:$C$501,I26,'Expenses'!$A$2:$A$501,"&gt;="&amp;DATE(Dashboard!$B$5,1,1),'Expenses'!$A$2:$A$501,"&lt;"&amp;DATE(Dashboard!$B$5+1,1,1)))</f>
        <v/>
      </c>
      <c r="L26" s="25">
        <f>IF(Lists!$D21="","",Lists!$D21)</f>
        <v/>
      </c>
      <c r="M26" s="11">
        <f>IF(L26="","",SUMIFS('Supplies'!$H$2:$H$501,'Supplies'!$D$2:$D$501,L26,'Supplies'!$A$2:$A$501,"&gt;="&amp;DATE(Dashboard!$B$5,1,1),'Supplies'!$A$2:$A$501,"&lt;"&amp;DATE(Dashboard!$B$5+1,1,1)))</f>
        <v/>
      </c>
    </row>
    <row r="27">
      <c r="I27" s="25">
        <f>IF(Lists!$C21="","",Lists!$C21)</f>
        <v/>
      </c>
      <c r="J27" s="11">
        <f>IF(I27="","",SUMIFS('Expenses'!$F$2:$F$501,'Expenses'!$C$2:$C$501,I27,'Expenses'!$A$2:$A$501,"&gt;="&amp;DATE(Dashboard!$B$5,1,1),'Expenses'!$A$2:$A$501,"&lt;"&amp;DATE(Dashboard!$B$5+1,1,1)))</f>
        <v/>
      </c>
      <c r="L27" s="25">
        <f>IF(Lists!$D22="","",Lists!$D22)</f>
        <v/>
      </c>
      <c r="M27" s="11">
        <f>IF(L27="","",SUMIFS('Supplies'!$H$2:$H$501,'Supplies'!$D$2:$D$501,L27,'Supplies'!$A$2:$A$501,"&gt;="&amp;DATE(Dashboard!$B$5,1,1),'Supplies'!$A$2:$A$501,"&lt;"&amp;DATE(Dashboard!$B$5+1,1,1)))</f>
        <v/>
      </c>
    </row>
    <row r="28">
      <c r="I28" s="25">
        <f>IF(Lists!$C22="","",Lists!$C22)</f>
        <v/>
      </c>
      <c r="J28" s="11">
        <f>IF(I28="","",SUMIFS('Expenses'!$F$2:$F$501,'Expenses'!$C$2:$C$501,I28,'Expenses'!$A$2:$A$501,"&gt;="&amp;DATE(Dashboard!$B$5,1,1),'Expenses'!$A$2:$A$501,"&lt;"&amp;DATE(Dashboard!$B$5+1,1,1)))</f>
        <v/>
      </c>
      <c r="L28" s="25">
        <f>IF(Lists!$D23="","",Lists!$D23)</f>
        <v/>
      </c>
      <c r="M28" s="11">
        <f>IF(L28="","",SUMIFS('Supplies'!$H$2:$H$501,'Supplies'!$D$2:$D$501,L28,'Supplies'!$A$2:$A$501,"&gt;="&amp;DATE(Dashboard!$B$5,1,1),'Supplies'!$A$2:$A$501,"&lt;"&amp;DATE(Dashboard!$B$5+1,1,1)))</f>
        <v/>
      </c>
    </row>
    <row r="29">
      <c r="I29" s="25">
        <f>IF(Lists!$C23="","",Lists!$C23)</f>
        <v/>
      </c>
      <c r="J29" s="11">
        <f>IF(I29="","",SUMIFS('Expenses'!$F$2:$F$501,'Expenses'!$C$2:$C$501,I29,'Expenses'!$A$2:$A$501,"&gt;="&amp;DATE(Dashboard!$B$5,1,1),'Expenses'!$A$2:$A$501,"&lt;"&amp;DATE(Dashboard!$B$5+1,1,1)))</f>
        <v/>
      </c>
      <c r="L29" s="25">
        <f>IF(Lists!$D24="","",Lists!$D24)</f>
        <v/>
      </c>
      <c r="M29" s="11">
        <f>IF(L29="","",SUMIFS('Supplies'!$H$2:$H$501,'Supplies'!$D$2:$D$501,L29,'Supplies'!$A$2:$A$501,"&gt;="&amp;DATE(Dashboard!$B$5,1,1),'Supplies'!$A$2:$A$501,"&lt;"&amp;DATE(Dashboard!$B$5+1,1,1)))</f>
        <v/>
      </c>
    </row>
    <row r="30">
      <c r="I30" s="25">
        <f>IF(Lists!$C24="","",Lists!$C24)</f>
        <v/>
      </c>
      <c r="J30" s="11">
        <f>IF(I30="","",SUMIFS('Expenses'!$F$2:$F$501,'Expenses'!$C$2:$C$501,I30,'Expenses'!$A$2:$A$501,"&gt;="&amp;DATE(Dashboard!$B$5,1,1),'Expenses'!$A$2:$A$501,"&lt;"&amp;DATE(Dashboard!$B$5+1,1,1)))</f>
        <v/>
      </c>
      <c r="L30" s="25">
        <f>IF(Lists!$D25="","",Lists!$D25)</f>
        <v/>
      </c>
      <c r="M30" s="11">
        <f>IF(L30="","",SUMIFS('Supplies'!$H$2:$H$501,'Supplies'!$D$2:$D$501,L30,'Supplies'!$A$2:$A$501,"&gt;="&amp;DATE(Dashboard!$B$5,1,1),'Supplies'!$A$2:$A$501,"&lt;"&amp;DATE(Dashboard!$B$5+1,1,1)))</f>
        <v/>
      </c>
    </row>
    <row r="31">
      <c r="I31" s="25">
        <f>IF(Lists!$C25="","",Lists!$C25)</f>
        <v/>
      </c>
      <c r="J31" s="11">
        <f>IF(I31="","",SUMIFS('Expenses'!$F$2:$F$501,'Expenses'!$C$2:$C$501,I31,'Expenses'!$A$2:$A$501,"&gt;="&amp;DATE(Dashboard!$B$5,1,1),'Expenses'!$A$2:$A$501,"&lt;"&amp;DATE(Dashboard!$B$5+1,1,1)))</f>
        <v/>
      </c>
      <c r="L31" s="25">
        <f>IF(Lists!$D26="","",Lists!$D26)</f>
        <v/>
      </c>
      <c r="M31" s="11">
        <f>IF(L31="","",SUMIFS('Supplies'!$H$2:$H$501,'Supplies'!$D$2:$D$501,L31,'Supplies'!$A$2:$A$501,"&gt;="&amp;DATE(Dashboard!$B$5,1,1),'Supplies'!$A$2:$A$501,"&lt;"&amp;DATE(Dashboard!$B$5+1,1,1)))</f>
        <v/>
      </c>
    </row>
    <row r="32">
      <c r="I32" s="25">
        <f>IF(Lists!$C26="","",Lists!$C26)</f>
        <v/>
      </c>
      <c r="J32" s="11">
        <f>IF(I32="","",SUMIFS('Expenses'!$F$2:$F$501,'Expenses'!$C$2:$C$501,I32,'Expenses'!$A$2:$A$501,"&gt;="&amp;DATE(Dashboard!$B$5,1,1),'Expenses'!$A$2:$A$501,"&lt;"&amp;DATE(Dashboard!$B$5+1,1,1)))</f>
        <v/>
      </c>
      <c r="L32" s="25">
        <f>IF(Lists!$D27="","",Lists!$D27)</f>
        <v/>
      </c>
      <c r="M32" s="11">
        <f>IF(L32="","",SUMIFS('Supplies'!$H$2:$H$501,'Supplies'!$D$2:$D$501,L32,'Supplies'!$A$2:$A$501,"&gt;="&amp;DATE(Dashboard!$B$5,1,1),'Supplies'!$A$2:$A$501,"&lt;"&amp;DATE(Dashboard!$B$5+1,1,1)))</f>
        <v/>
      </c>
    </row>
    <row r="33">
      <c r="I33" s="25">
        <f>IF(Lists!$C27="","",Lists!$C27)</f>
        <v/>
      </c>
      <c r="J33" s="11">
        <f>IF(I33="","",SUMIFS('Expenses'!$F$2:$F$501,'Expenses'!$C$2:$C$501,I33,'Expenses'!$A$2:$A$501,"&gt;="&amp;DATE(Dashboard!$B$5,1,1),'Expenses'!$A$2:$A$501,"&lt;"&amp;DATE(Dashboard!$B$5+1,1,1)))</f>
        <v/>
      </c>
      <c r="L33" s="25">
        <f>IF(Lists!$D28="","",Lists!$D28)</f>
        <v/>
      </c>
      <c r="M33" s="11">
        <f>IF(L33="","",SUMIFS('Supplies'!$H$2:$H$501,'Supplies'!$D$2:$D$501,L33,'Supplies'!$A$2:$A$501,"&gt;="&amp;DATE(Dashboard!$B$5,1,1),'Supplies'!$A$2:$A$501,"&lt;"&amp;DATE(Dashboard!$B$5+1,1,1)))</f>
        <v/>
      </c>
    </row>
    <row r="34">
      <c r="I34" s="25">
        <f>IF(Lists!$C28="","",Lists!$C28)</f>
        <v/>
      </c>
      <c r="J34" s="11">
        <f>IF(I34="","",SUMIFS('Expenses'!$F$2:$F$501,'Expenses'!$C$2:$C$501,I34,'Expenses'!$A$2:$A$501,"&gt;="&amp;DATE(Dashboard!$B$5,1,1),'Expenses'!$A$2:$A$501,"&lt;"&amp;DATE(Dashboard!$B$5+1,1,1)))</f>
        <v/>
      </c>
      <c r="L34" s="25">
        <f>IF(Lists!$D29="","",Lists!$D29)</f>
        <v/>
      </c>
      <c r="M34" s="11">
        <f>IF(L34="","",SUMIFS('Supplies'!$H$2:$H$501,'Supplies'!$D$2:$D$501,L34,'Supplies'!$A$2:$A$501,"&gt;="&amp;DATE(Dashboard!$B$5,1,1),'Supplies'!$A$2:$A$501,"&lt;"&amp;DATE(Dashboard!$B$5+1,1,1)))</f>
        <v/>
      </c>
    </row>
    <row r="35">
      <c r="I35" s="25">
        <f>IF(Lists!$C29="","",Lists!$C29)</f>
        <v/>
      </c>
      <c r="J35" s="11">
        <f>IF(I35="","",SUMIFS('Expenses'!$F$2:$F$501,'Expenses'!$C$2:$C$501,I35,'Expenses'!$A$2:$A$501,"&gt;="&amp;DATE(Dashboard!$B$5,1,1),'Expenses'!$A$2:$A$501,"&lt;"&amp;DATE(Dashboard!$B$5+1,1,1)))</f>
        <v/>
      </c>
      <c r="L35" s="25">
        <f>IF(Lists!$D30="","",Lists!$D30)</f>
        <v/>
      </c>
      <c r="M35" s="11">
        <f>IF(L35="","",SUMIFS('Supplies'!$H$2:$H$501,'Supplies'!$D$2:$D$501,L35,'Supplies'!$A$2:$A$501,"&gt;="&amp;DATE(Dashboard!$B$5,1,1),'Supplies'!$A$2:$A$501,"&lt;"&amp;DATE(Dashboard!$B$5+1,1,1)))</f>
        <v/>
      </c>
    </row>
    <row r="36">
      <c r="I36" s="25">
        <f>IF(Lists!$C30="","",Lists!$C30)</f>
        <v/>
      </c>
      <c r="J36" s="11">
        <f>IF(I36="","",SUMIFS('Expenses'!$F$2:$F$501,'Expenses'!$C$2:$C$501,I36,'Expenses'!$A$2:$A$501,"&gt;="&amp;DATE(Dashboard!$B$5,1,1),'Expenses'!$A$2:$A$501,"&lt;"&amp;DATE(Dashboard!$B$5+1,1,1)))</f>
        <v/>
      </c>
      <c r="L36" s="25">
        <f>IF(Lists!$D31="","",Lists!$D31)</f>
        <v/>
      </c>
      <c r="M36" s="11">
        <f>IF(L36="","",SUMIFS('Supplies'!$H$2:$H$501,'Supplies'!$D$2:$D$501,L36,'Supplies'!$A$2:$A$501,"&gt;="&amp;DATE(Dashboard!$B$5,1,1),'Supplies'!$A$2:$A$501,"&lt;"&amp;DATE(Dashboard!$B$5+1,1,1)))</f>
        <v/>
      </c>
    </row>
    <row r="37">
      <c r="I37" s="25">
        <f>IF(Lists!$C31="","",Lists!$C31)</f>
        <v/>
      </c>
      <c r="J37" s="11">
        <f>IF(I37="","",SUMIFS('Expenses'!$F$2:$F$501,'Expenses'!$C$2:$C$501,I37,'Expenses'!$A$2:$A$501,"&gt;="&amp;DATE(Dashboard!$B$5,1,1),'Expenses'!$A$2:$A$501,"&lt;"&amp;DATE(Dashboard!$B$5+1,1,1)))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40" customWidth="1" min="3" max="3"/>
  </cols>
  <sheetData>
    <row r="1" ht="30" customHeight="1">
      <c r="A1" s="17" t="inlineStr">
        <is>
          <t>Effective From</t>
        </is>
      </c>
      <c r="B1" s="17" t="inlineStr">
        <is>
          <t>Rate per Mile</t>
        </is>
      </c>
      <c r="C1" s="17" t="inlineStr">
        <is>
          <t>Source</t>
        </is>
      </c>
    </row>
    <row r="2">
      <c r="A2" s="18" t="n">
        <v>45658</v>
      </c>
      <c r="B2" s="27" t="n">
        <v>0.7</v>
      </c>
      <c r="C2" t="inlineStr">
        <is>
          <t>IRS Notice 2025-5</t>
        </is>
      </c>
    </row>
    <row r="3">
      <c r="A3" s="18" t="n">
        <v>46023</v>
      </c>
      <c r="B3" s="27" t="n">
        <v>0.725</v>
      </c>
      <c r="C3" t="inlineStr">
        <is>
          <t>IRS Notice 2026-10</t>
        </is>
      </c>
    </row>
    <row r="4">
      <c r="A4" s="18" t="n">
        <v>46204</v>
      </c>
      <c r="B4" s="27" t="n">
        <v>0.76</v>
      </c>
      <c r="C4" t="inlineStr">
        <is>
          <t>IRS Announcement 2026-11</t>
        </is>
      </c>
    </row>
    <row r="5">
      <c r="A5" s="18" t="n"/>
      <c r="B5" s="27" t="n"/>
    </row>
    <row r="6">
      <c r="A6" s="18" t="n"/>
      <c r="B6" s="27" t="n"/>
    </row>
    <row r="7">
      <c r="A7" s="18" t="n"/>
      <c r="B7" s="27" t="n"/>
    </row>
    <row r="8">
      <c r="A8" s="18" t="n"/>
      <c r="B8" s="27" t="n"/>
    </row>
    <row r="9">
      <c r="A9" s="18" t="n"/>
      <c r="B9" s="27" t="n"/>
    </row>
    <row r="10">
      <c r="A10" s="18" t="n"/>
      <c r="B10" s="27" t="n"/>
    </row>
    <row r="11">
      <c r="A11" s="18" t="n"/>
      <c r="B11" s="27" t="n"/>
    </row>
    <row r="12">
      <c r="A12" s="18" t="n"/>
      <c r="B12" s="27" t="n"/>
    </row>
    <row r="13">
      <c r="A13" s="18" t="n"/>
      <c r="B13" s="27" t="n"/>
    </row>
    <row r="14">
      <c r="A14" s="18" t="n"/>
      <c r="B14" s="27" t="n"/>
    </row>
    <row r="15">
      <c r="A15" s="18" t="n"/>
      <c r="B15" s="27" t="n"/>
    </row>
    <row r="16">
      <c r="A16" s="18" t="n"/>
      <c r="B16" s="27" t="n"/>
    </row>
    <row r="17">
      <c r="A17" s="18" t="n"/>
      <c r="B17" s="27" t="n"/>
    </row>
    <row r="18">
      <c r="A18" s="18" t="n"/>
      <c r="B18" s="27" t="n"/>
    </row>
    <row r="19">
      <c r="A19" s="18" t="n"/>
      <c r="B19" s="27" t="n"/>
    </row>
    <row r="20">
      <c r="A20" s="18" t="n"/>
      <c r="B20" s="27" t="n"/>
    </row>
    <row r="21">
      <c r="A21" s="18" t="n"/>
      <c r="B21" s="27" t="n"/>
    </row>
  </sheetData>
  <autoFilter ref="A1:C21"/>
  <dataValidations count="2">
    <dataValidation sqref="A2:A21" showDropDown="0" showInputMessage="0" showErrorMessage="1" allowBlank="1" errorTitle="Date needed" error="Enter a date, e.g. 3/15/2026." type="date" operator="greaterThan">
      <formula1>36526</formula1>
    </dataValidation>
    <dataValidation sqref="B2:B21" showDropDown="0" showInputMessage="0" showErrorMessage="1" allowBlank="1" errorTitle="Number needed" error="Enter a number of 0 or more." type="decimal"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28" t="inlineStr">
        <is>
          <t>Services</t>
        </is>
      </c>
      <c r="B1" s="28" t="inlineStr">
        <is>
          <t>Payment Methods</t>
        </is>
      </c>
      <c r="C1" s="28" t="inlineStr">
        <is>
          <t>Expense Categories</t>
        </is>
      </c>
      <c r="D1" s="28" t="inlineStr">
        <is>
          <t>Supply Categories</t>
        </is>
      </c>
    </row>
    <row r="2">
      <c r="A2" s="29" t="inlineStr">
        <is>
          <t>Exterior Wash</t>
        </is>
      </c>
      <c r="B2" s="29" t="inlineStr">
        <is>
          <t>Cash</t>
        </is>
      </c>
      <c r="C2" s="29" t="inlineStr">
        <is>
          <t>Equipment &amp; Tools</t>
        </is>
      </c>
      <c r="D2" s="29" t="inlineStr">
        <is>
          <t>Chemicals</t>
        </is>
      </c>
    </row>
    <row r="3">
      <c r="A3" s="29" t="inlineStr">
        <is>
          <t>Interior Detail</t>
        </is>
      </c>
      <c r="B3" s="29" t="inlineStr">
        <is>
          <t>Card</t>
        </is>
      </c>
      <c r="C3" s="29" t="inlineStr">
        <is>
          <t>Fuel</t>
        </is>
      </c>
      <c r="D3" s="29" t="inlineStr">
        <is>
          <t>Towels &amp; Microfiber</t>
        </is>
      </c>
    </row>
    <row r="4">
      <c r="A4" s="29" t="inlineStr">
        <is>
          <t>Full Detail</t>
        </is>
      </c>
      <c r="B4" s="29" t="inlineStr">
        <is>
          <t>Venmo</t>
        </is>
      </c>
      <c r="C4" s="29" t="inlineStr">
        <is>
          <t>Vehicle Repairs &amp; Maintenance</t>
        </is>
      </c>
      <c r="D4" s="29" t="inlineStr">
        <is>
          <t>Pads &amp; Brushes</t>
        </is>
      </c>
    </row>
    <row r="5">
      <c r="A5" s="29" t="inlineStr">
        <is>
          <t>Wax &amp; Sealant</t>
        </is>
      </c>
      <c r="B5" s="29" t="inlineStr">
        <is>
          <t>Zelle</t>
        </is>
      </c>
      <c r="C5" s="29" t="inlineStr">
        <is>
          <t>Insurance</t>
        </is>
      </c>
      <c r="D5" s="29" t="inlineStr">
        <is>
          <t>Equipment</t>
        </is>
      </c>
    </row>
    <row r="6">
      <c r="A6" s="29" t="inlineStr">
        <is>
          <t>Paint Correction</t>
        </is>
      </c>
      <c r="B6" s="29" t="inlineStr">
        <is>
          <t>Cash App</t>
        </is>
      </c>
      <c r="C6" s="29" t="inlineStr">
        <is>
          <t>Marketing &amp; Advertising</t>
        </is>
      </c>
      <c r="D6" s="29" t="inlineStr">
        <is>
          <t>Water &amp; Power</t>
        </is>
      </c>
    </row>
    <row r="7">
      <c r="A7" s="29" t="inlineStr">
        <is>
          <t>Ceramic Coating</t>
        </is>
      </c>
      <c r="B7" s="29" t="inlineStr">
        <is>
          <t>PayPal</t>
        </is>
      </c>
      <c r="C7" s="29" t="inlineStr">
        <is>
          <t>Phone &amp; Software</t>
        </is>
      </c>
      <c r="D7" s="29" t="inlineStr">
        <is>
          <t>Safety &amp; PPE</t>
        </is>
      </c>
    </row>
    <row r="8">
      <c r="A8" s="29" t="inlineStr">
        <is>
          <t>Headlight Restoration</t>
        </is>
      </c>
      <c r="B8" s="29" t="inlineStr">
        <is>
          <t>Check</t>
        </is>
      </c>
      <c r="C8" s="29" t="inlineStr">
        <is>
          <t>Water &amp; Utilities</t>
        </is>
      </c>
      <c r="D8" s="29" t="inlineStr">
        <is>
          <t>Other</t>
        </is>
      </c>
    </row>
    <row r="9">
      <c r="A9" s="29" t="inlineStr">
        <is>
          <t>Engine Bay</t>
        </is>
      </c>
      <c r="B9" s="29" t="inlineStr">
        <is>
          <t>Other</t>
        </is>
      </c>
      <c r="C9" s="29" t="inlineStr">
        <is>
          <t>Licenses &amp; Fees</t>
        </is>
      </c>
      <c r="D9" s="29" t="n"/>
    </row>
    <row r="10">
      <c r="A10" s="29" t="inlineStr">
        <is>
          <t>Odor Removal</t>
        </is>
      </c>
      <c r="B10" s="29" t="n"/>
      <c r="C10" s="29" t="inlineStr">
        <is>
          <t>Training</t>
        </is>
      </c>
      <c r="D10" s="29" t="n"/>
    </row>
    <row r="11">
      <c r="A11" s="29" t="inlineStr">
        <is>
          <t>Fleet Wash</t>
        </is>
      </c>
      <c r="B11" s="29" t="n"/>
      <c r="C11" s="29" t="inlineStr">
        <is>
          <t>Other</t>
        </is>
      </c>
      <c r="D11" s="29" t="n"/>
    </row>
    <row r="12">
      <c r="A12" s="29" t="inlineStr">
        <is>
          <t>Other</t>
        </is>
      </c>
      <c r="B12" s="29" t="n"/>
      <c r="C12" s="29" t="n"/>
      <c r="D12" s="29" t="n"/>
    </row>
    <row r="13">
      <c r="A13" s="29" t="n"/>
      <c r="B13" s="29" t="n"/>
      <c r="C13" s="29" t="n"/>
      <c r="D13" s="29" t="n"/>
    </row>
    <row r="14">
      <c r="A14" s="29" t="n"/>
      <c r="B14" s="29" t="n"/>
      <c r="C14" s="29" t="n"/>
      <c r="D14" s="29" t="n"/>
    </row>
    <row r="15">
      <c r="A15" s="29" t="n"/>
      <c r="B15" s="29" t="n"/>
      <c r="C15" s="29" t="n"/>
      <c r="D15" s="29" t="n"/>
    </row>
    <row r="16">
      <c r="A16" s="29" t="n"/>
      <c r="B16" s="29" t="n"/>
      <c r="C16" s="29" t="n"/>
      <c r="D16" s="29" t="n"/>
    </row>
    <row r="17">
      <c r="A17" s="29" t="n"/>
      <c r="B17" s="29" t="n"/>
      <c r="C17" s="29" t="n"/>
      <c r="D17" s="29" t="n"/>
    </row>
    <row r="18">
      <c r="A18" s="29" t="n"/>
      <c r="B18" s="29" t="n"/>
      <c r="C18" s="29" t="n"/>
      <c r="D18" s="29" t="n"/>
    </row>
    <row r="19">
      <c r="A19" s="29" t="n"/>
      <c r="B19" s="29" t="n"/>
      <c r="C19" s="29" t="n"/>
      <c r="D19" s="29" t="n"/>
    </row>
    <row r="20">
      <c r="A20" s="29" t="n"/>
      <c r="B20" s="29" t="n"/>
      <c r="C20" s="29" t="n"/>
      <c r="D20" s="29" t="n"/>
    </row>
    <row r="21">
      <c r="A21" s="29" t="n"/>
      <c r="B21" s="29" t="n"/>
      <c r="C21" s="29" t="n"/>
      <c r="D21" s="29" t="n"/>
    </row>
    <row r="22">
      <c r="A22" s="29" t="n"/>
      <c r="B22" s="29" t="n"/>
      <c r="C22" s="29" t="n"/>
      <c r="D22" s="29" t="n"/>
    </row>
    <row r="23">
      <c r="A23" s="29" t="n"/>
      <c r="B23" s="29" t="n"/>
      <c r="C23" s="29" t="n"/>
      <c r="D23" s="29" t="n"/>
    </row>
    <row r="24">
      <c r="A24" s="29" t="n"/>
      <c r="B24" s="29" t="n"/>
      <c r="C24" s="29" t="n"/>
      <c r="D24" s="29" t="n"/>
    </row>
    <row r="25">
      <c r="A25" s="29" t="n"/>
      <c r="B25" s="29" t="n"/>
      <c r="C25" s="29" t="n"/>
      <c r="D25" s="29" t="n"/>
    </row>
    <row r="26">
      <c r="A26" s="29" t="n"/>
      <c r="B26" s="29" t="n"/>
      <c r="C26" s="29" t="n"/>
      <c r="D26" s="29" t="n"/>
    </row>
    <row r="27">
      <c r="A27" s="29" t="n"/>
      <c r="B27" s="29" t="n"/>
      <c r="C27" s="29" t="n"/>
      <c r="D27" s="29" t="n"/>
    </row>
    <row r="28">
      <c r="A28" s="29" t="n"/>
      <c r="B28" s="29" t="n"/>
      <c r="C28" s="29" t="n"/>
      <c r="D28" s="29" t="n"/>
    </row>
    <row r="29">
      <c r="A29" s="29" t="n"/>
      <c r="B29" s="29" t="n"/>
      <c r="C29" s="29" t="n"/>
      <c r="D29" s="29" t="n"/>
    </row>
    <row r="30">
      <c r="A30" s="29" t="n"/>
      <c r="B30" s="29" t="n"/>
      <c r="C30" s="29" t="n"/>
      <c r="D30" s="29" t="n"/>
    </row>
    <row r="31">
      <c r="A31" s="29" t="n"/>
      <c r="B31" s="29" t="n"/>
      <c r="C31" s="29" t="n"/>
      <c r="D31" s="2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2026-10-13T19:24:43Z</dcterms:created>
  <dcterms:modified xsi:type="dcterms:W3CDTF">2026-10-13T19:24:43Z</dcterms:modified>
</cp:coreProperties>
</file>